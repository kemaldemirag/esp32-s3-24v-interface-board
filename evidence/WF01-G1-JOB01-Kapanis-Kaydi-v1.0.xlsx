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78af7b891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54f36a0fa7e042de"/>
    <x:sheet xmlns:r="http://schemas.openxmlformats.org/officeDocument/2006/relationships" name="Closure Checks" sheetId="2" r:id="R8ce5349106c84c9a"/>
    <x:sheet xmlns:r="http://schemas.openxmlformats.org/officeDocument/2006/relationships" name="Source Evidence" sheetId="3" r:id="Rfd859686a13045fb"/>
    <x:sheet xmlns:r="http://schemas.openxmlformats.org/officeDocument/2006/relationships" name="Duplicate Conflict" sheetId="4" r:id="R8aa85b25336e443f"/>
    <x:sheet xmlns:r="http://schemas.openxmlformats.org/officeDocument/2006/relationships" name="CF09 Decision" sheetId="5" r:id="R15dd7589ce594682"/>
    <x:sheet xmlns:r="http://schemas.openxmlformats.org/officeDocument/2006/relationships" name="Ownership Signoff" sheetId="6" r:id="R14336e2ab1ba4471"/>
    <x:sheet xmlns:r="http://schemas.openxmlformats.org/officeDocument/2006/relationships" name="Readme Enums" sheetId="7" r:id="Rc3c72d313c2c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1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68887527e46dd" /><Relationship Type="http://schemas.openxmlformats.org/officeDocument/2006/relationships/theme" Target="/xl/theme/theme1.xml" Id="R3cabd682a99e40db" /><Relationship Type="http://schemas.openxmlformats.org/officeDocument/2006/relationships/sharedStrings" Target="/xl/sharedStrings.xml" Id="R2735be27460342ae" /><Relationship Type="http://schemas.openxmlformats.org/officeDocument/2006/relationships/worksheet" Target="/xl/worksheets/sheet1.xml" Id="R54f36a0fa7e042de" /><Relationship Type="http://schemas.openxmlformats.org/officeDocument/2006/relationships/worksheet" Target="/xl/worksheets/sheet2.xml" Id="R8ce5349106c84c9a" /><Relationship Type="http://schemas.openxmlformats.org/officeDocument/2006/relationships/worksheet" Target="/xl/worksheets/sheet3.xml" Id="Rfd859686a13045fb" /><Relationship Type="http://schemas.openxmlformats.org/officeDocument/2006/relationships/worksheet" Target="/xl/worksheets/sheet4.xml" Id="R8aa85b25336e443f" /><Relationship Type="http://schemas.openxmlformats.org/officeDocument/2006/relationships/worksheet" Target="/xl/worksheets/sheet5.xml" Id="R15dd7589ce594682" /><Relationship Type="http://schemas.openxmlformats.org/officeDocument/2006/relationships/worksheet" Target="/xl/worksheets/sheet6.xml" Id="R14336e2ab1ba4471" /><Relationship Type="http://schemas.openxmlformats.org/officeDocument/2006/relationships/worksheet" Target="/xl/worksheets/sheet7.xml" Id="Rc3c72d313c2c497e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ea171cdc9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5f7bb08c3241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7beee2fe9a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3c08fb4240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69a2df7098486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v1.0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Formül sonucu insan kapı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WF01-G1-JOB01-CLOSE-v1.0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G5 uygulanabilirliği</x:v>
      </x:c>
      <x:c r="C11" s="15" t="str">
        <x:v>UNKNOWN; bench 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SHA-256,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CF-09 mantıksal akış kararı</x:v>
      </x:c>
      <x:c r="D26" s="15" t="str">
        <x:v>BLOCKED</x:v>
      </x:c>
      <x:c r="E26" s="15" t="str">
        <x:v>MIRRORED_5 veya INDEPENDENT_10 seçeneklerinden birini müşteri kanıtıyla yazılı seç.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CF-09 mimari uygunluk</x:v>
      </x:c>
      <x:c r="D28" s="15" t="str">
        <x:v>NOT_RUN</x:v>
      </x:c>
      <x:c r="E28" s="15" t="str">
        <x:v>Mantıksal karar kapandıktan sonra G2'de UART/bridge/helper-MCU kapasitesini ve exact-part kanıtını değerlendir.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CF-09 müşteri kararı ve adlandırılmış bağımsız doğrulama kapanmadan G2 tasarım girdileri dondurulamaz. Mevcut internet/GitHub araştırması yalnız karar senaryolarını sınırlar; kaynak paketlerin veya mimari PASS'in yerine geçmez.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Signoff'!$F$8="PASS"),"PASS","BLOCKED")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bayt/hash/lisans/provenans doğrulaması PASS</x:v>
      </x:c>
      <x:c r="D9" s="15" t="str">
        <x:v>Source Evidence / PKG-A; PKG-B</x:v>
      </x:c>
      <x:c r="E9" s="15" t="str">
        <x:f>IF(AND('Source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CF-09 için iki izinli mantıksal daldan biri müşteri kanıtıyla seçildi ve onaylandı</x:v>
      </x:c>
      <x:c r="D11" s="15" t="str">
        <x:v>CF09 Decision / C6:C12</x:v>
      </x:c>
      <x:c r="E11" s="15" t="str">
        <x:f>'CF09 Decision'!$C$12</x:f>
        <x:v>BLOCKED</x:v>
      </x:c>
      <x:c r="F11" s="15" t="str">
        <x:v>Customer / Requirements Owner</x:v>
      </x:c>
      <x:c r="G11" s="15" t="str">
        <x:v>BLOCKED</x:v>
      </x:c>
      <x:c r="H11" s="15" t="str">
        <x:v>Akış aynalama ilişkisi yazılı değil</x:v>
      </x:c>
      <x:c r="I11" s="15" t="str">
        <x:v>İki seçenekten birini müşteri kanıtıyla seç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Conflict'!$H$6:$H$11,"PASS")=6,'Ownership Signoff'!$F$8="PASS"),"PASS","BLOCKED")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45cea171cdc9431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yalnız destekleyici kayıt, vekil belge veya güncel araştırmayı gösterir.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</x:v>
      </x:c>
      <x:c r="I5" s="24" t="str">
        <x:v>Kayıtlı / beklenen SHA-256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15" t="str">
        <x:v>MISSING</x:v>
      </x:c>
      <x:c r="G6" s="15" t="str">
        <x:v>UNKNOWN</x:v>
      </x:c>
      <x:c r="H6" s="15" t="str">
        <x:v>UNKNOWN</x:v>
      </x:c>
      <x:c r="I6" s="15" t="str">
        <x:v>CCA30533197956810DBB880C9D767326CB289E83167DF5370CF1A6A8170C4ED4</x:v>
      </x:c>
      <x:c r="J6" s="15" t="str">
        <x:v>HANDOFF_ONLY; UNKNOWN</x:v>
      </x:c>
      <x:c r="K6" s="15" t="str">
        <x:v>CLAUDE-08: 63 dosya, 27.854.101 bayt; yerelde yeniden üretilemedi</x:v>
      </x:c>
      <x:c r="L6" s="15" t="str">
        <x:v>BLOCKED</x:v>
      </x:c>
      <x:c r="M6" s="15" t="str">
        <x:v>Vekil PDF/URL ve uzaktaki ACCESSIBLE iddiası özgün baytların yerine geçmez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15" t="str">
        <x:v>MISSING</x:v>
      </x:c>
      <x:c r="G7" s="15" t="str">
        <x:v>UNKNOWN</x:v>
      </x:c>
      <x:c r="H7" s="15" t="str">
        <x:v>UNKNOWN</x:v>
      </x:c>
      <x:c r="I7" s="15" t="str">
        <x:v>689E48478371EDB21DE96B1C5D547D9767BD22EF0618158792D627996C36052D</x:v>
      </x:c>
      <x:c r="J7" s="15" t="str">
        <x:v>HANDOFF_ONLY; UNKNOWN</x:v>
      </x:c>
      <x:c r="K7" s="15" t="str">
        <x:v>CLAUDE-08: 82 dosya, 128.611.424 bayt; yerelde yeniden üretilemedi</x:v>
      </x:c>
      <x:c r="L7" s="15" t="str">
        <x:v>BLOCKED</x:v>
      </x:c>
      <x:c r="M7" s="15" t="str">
        <x:v>Dört kayıtlı PKG-B PDF hash'i yereldeki 22 PDF ile eşleşmedi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db5f7bb08c324159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bağımsız doğrulama ile PASS olmadan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Sekiz resmî PDF yerelde PRESENT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1">
    <x:dataValidation type="list" sqref="I6:I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beee2fe9a41f5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MIRRORED_5 veya INDEPENDENT_10 seçilebilir. Bu seçim G1 gereksinimini kapatır; mimari kapasite ve exact-part PASS'i ayrıca G2/G3 kanıtı ister.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(gerçek kişi)</x:v>
      </x:c>
      <x:c r="C9" s="46" t="str"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4" t="str">
        <x:v>CF-09 kapanış sonucu</x:v>
      </x:c>
      <x:c r="C12" s="15" t="str">
        <x:f>IF(AND(OR(C6="MIRRORED_5",C6="INDEPENDENT_10"),C7&lt;&gt;"",C8&lt;&gt;"",C8&lt;&gt;"TBD",C9&lt;&gt;"",C9&lt;&gt;"TBD",C10&lt;&gt;"",C11="PASS"),"PASS","BLOCKED")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Q1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Q3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Q4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Q5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c08fb42404c7a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Bağımsız Doğrulama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Bağımsız doğrulayan, hazırlayan veya Evidence Owner ile aynı kişi olmamalıdır.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46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46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46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1">
    <x:dataValidation type="list" sqref="G6:G8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69a2df7098486a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