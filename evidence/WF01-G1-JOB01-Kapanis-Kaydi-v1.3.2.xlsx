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fba1ac99a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Summary" sheetId="1" r:id="Rb3dfa674ac7c4b3d"/>
    <x:sheet xmlns:r="http://schemas.openxmlformats.org/officeDocument/2006/relationships" name="Closure Checks" sheetId="2" r:id="Ra318a3b801864e5a"/>
    <x:sheet xmlns:r="http://schemas.openxmlformats.org/officeDocument/2006/relationships" name="Source Evidence" sheetId="3" r:id="Rd7e5f6a3bb68448d"/>
    <x:sheet xmlns:r="http://schemas.openxmlformats.org/officeDocument/2006/relationships" name="Duplicate Conflict" sheetId="4" r:id="Rcb4cf65406f347c5"/>
    <x:sheet xmlns:r="http://schemas.openxmlformats.org/officeDocument/2006/relationships" name="CF09 Decision" sheetId="5" r:id="R49ced9329c0e485e"/>
    <x:sheet xmlns:r="http://schemas.openxmlformats.org/officeDocument/2006/relationships" name="Ownership Signoff" sheetId="6" r:id="Rcb5df7e56a754bfa"/>
    <x:sheet xmlns:r="http://schemas.openxmlformats.org/officeDocument/2006/relationships" name="Readme Enums" sheetId="7" r:id="Rca361939ad9b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9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1"/>
      <x:color rgb="FF9C0006"/>
      <x:name val="Arial"/>
    </x:font>
    <x:font>
      <x:i/>
      <x:sz val="9"/>
      <x:color rgb="FF44546A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12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  <x:diagonal/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 applyAlignment="1">
      <x:alignment horizontal="center" vertical="top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6" xfId="0" applyNumberFormat="1" applyFont="1" applyFill="1" applyBorder="1" applyAlignment="1">
      <x:alignment vertical="top"/>
    </x:xf>
    <x:xf numFmtId="0" fontId="7" fillId="5" borderId="7" xfId="0" applyNumberFormat="1" applyFont="1" applyFill="1" applyBorder="1" applyAlignment="1">
      <x:alignment vertical="top"/>
    </x:xf>
    <x:xf numFmtId="0" fontId="7" fillId="5" borderId="8" xfId="0" applyNumberFormat="1" applyFont="1" applyFill="1" applyBorder="1" applyAlignment="1">
      <x:alignment vertical="top"/>
    </x:xf>
    <x:xf numFmtId="0" fontId="7" fillId="5" borderId="9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 wrapText="1"/>
    </x:xf>
    <x:xf numFmtId="200" fontId="1" fillId="6" borderId="1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/>
    </x:xf>
    <x:xf numFmtId="0" fontId="1" fillId="9" borderId="1" xfId="0" applyNumberFormat="1" applyFont="1" applyFill="1" applyBorder="1" applyAlignment="1">
      <x:alignment vertical="top"/>
    </x:xf>
    <x:xf numFmtId="0" fontId="4" fillId="9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top"/>
    </x:xf>
    <x:xf numFmtId="0" fontId="6" fillId="10" borderId="0" xfId="0" applyNumberFormat="1" applyFont="1" applyFill="1" applyBorder="1" applyAlignment="1">
      <x:alignment vertical="top"/>
    </x:xf>
    <x:xf numFmtId="0" fontId="6" fillId="10" borderId="1" xfId="0" applyNumberFormat="1" applyFont="1" applyFill="1" applyBorder="1" applyAlignment="1">
      <x:alignment vertical="top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top"/>
    </x:xf>
    <x:xf numFmtId="0" fontId="1" fillId="11" borderId="10" xfId="0" applyNumberFormat="1" applyFont="1" applyFill="1" applyBorder="1" applyAlignment="1">
      <x:alignment vertical="top"/>
    </x:xf>
    <x:xf numFmtId="0" fontId="1" fillId="11" borderId="10" xfId="0" applyNumberFormat="1" applyFont="1" applyFill="1" applyBorder="1" applyAlignment="1">
      <x:alignment vertical="top" wrapText="1"/>
    </x:xf>
    <x:xf numFmtId="200" fontId="1" fillId="11" borderId="1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center" wrapText="1"/>
    </x:xf>
    <x:xf numFmtId="0" fontId="1" fillId="11" borderId="1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top"/>
    </x:xf>
    <x:xf numFmtId="0" fontId="4" fillId="12" borderId="0" xfId="0" applyNumberFormat="1" applyFont="1" applyFill="1" applyBorder="1" applyAlignment="1">
      <x:alignment vertical="top"/>
    </x:xf>
    <x:xf numFmtId="0" fontId="4" fillId="12" borderId="11" xfId="0" applyNumberFormat="1" applyFont="1" applyFill="1" applyBorder="1" applyAlignment="1">
      <x:alignment vertical="top"/>
    </x:xf>
    <x:xf numFmtId="0" fontId="4" fillId="12" borderId="11" xfId="0" applyNumberFormat="1" applyFont="1" applyFill="1" applyBorder="1" applyAlignment="1">
      <x:alignment vertical="top" wrapText="1"/>
    </x:xf>
    <x:xf numFmtId="0" fontId="4" fillId="12" borderId="11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top"/>
    </x:xf>
    <x:xf numFmtId="0" fontId="8" fillId="13" borderId="0" xfId="0" applyNumberFormat="1" applyFont="1" applyFill="1" applyBorder="1" applyAlignment="1">
      <x:alignment vertical="top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a186320ed45b1" /><Relationship Type="http://schemas.openxmlformats.org/officeDocument/2006/relationships/theme" Target="/xl/theme/theme1.xml" Id="R84d379f642004213" /><Relationship Type="http://schemas.openxmlformats.org/officeDocument/2006/relationships/sharedStrings" Target="/xl/sharedStrings.xml" Id="Ra476e418830c426b" /><Relationship Type="http://schemas.openxmlformats.org/officeDocument/2006/relationships/worksheet" Target="/xl/worksheets/sheet1.xml" Id="Rb3dfa674ac7c4b3d" /><Relationship Type="http://schemas.openxmlformats.org/officeDocument/2006/relationships/worksheet" Target="/xl/worksheets/sheet2.xml" Id="Ra318a3b801864e5a" /><Relationship Type="http://schemas.openxmlformats.org/officeDocument/2006/relationships/worksheet" Target="/xl/worksheets/sheet3.xml" Id="Rd7e5f6a3bb68448d" /><Relationship Type="http://schemas.openxmlformats.org/officeDocument/2006/relationships/worksheet" Target="/xl/worksheets/sheet4.xml" Id="Rcb4cf65406f347c5" /><Relationship Type="http://schemas.openxmlformats.org/officeDocument/2006/relationships/worksheet" Target="/xl/worksheets/sheet5.xml" Id="R49ced9329c0e485e" /><Relationship Type="http://schemas.openxmlformats.org/officeDocument/2006/relationships/worksheet" Target="/xl/worksheets/sheet6.xml" Id="Rcb5df7e56a754bfa" /><Relationship Type="http://schemas.openxmlformats.org/officeDocument/2006/relationships/worksheet" Target="/xl/worksheets/sheet7.xml" Id="Rca361939ad9b4c6f" /></Relationships>
</file>

<file path=xl/tables/table1.xml><?xml version="1.0" encoding="utf-8"?>
<x:table xmlns:x="http://schemas.openxmlformats.org/spreadsheetml/2006/main" id="1" name="ClosureChecksTable" displayName="ClosureChecksTable" ref="B5:I13" headerRowCount="1" totalsRowCount="0" totalsRowShown="0">
  <x:tableColumns count="8">
    <x:tableColumn id="1" name="Kontrol"/>
    <x:tableColumn id="2" name="Kapanış ölçütü"/>
    <x:tableColumn id="3" name="Kanıt kaynağı"/>
    <x:tableColumn id="4" name="Durum"/>
    <x:tableColumn id="5" name="Kapı etkisi"/>
    <x:tableColumn id="6" name="Sahip"/>
    <x:tableColumn id="7" name="Açık kalma nedeni"/>
    <x:tableColumn id="8" name="Sonraki işl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EvidenceTable" displayName="SourceEvidenceTable" ref="B5:M29" headerRowCount="1" totalsRowCount="0" totalsRowShown="0">
  <x:tableColumns count="12">
    <x:tableColumn id="1" name="ID"/>
    <x:tableColumn id="2" name="Kaynak / eser"/>
    <x:tableColumn id="3" name="Tür"/>
    <x:tableColumn id="4" name="Yerel konum veya URL"/>
    <x:tableColumn id="5" name="Yerel durum"/>
    <x:tableColumn id="6" name="Boyut (bayt)"/>
    <x:tableColumn id="7" name="Gözlenen SHA-256"/>
    <x:tableColumn id="8" name="Kayıtlı / beklenen SHA-256"/>
    <x:tableColumn id="9" name="Kanıt sınıfı"/>
    <x:tableColumn id="10" name="Lisans / provenans"/>
    <x:tableColumn id="11" name="Doğrulama"/>
    <x:tableColumn id="12" name="Sınırlam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ConflictTable" displayName="DuplicateConflictTable" ref="B5:J11" headerRowCount="1" totalsRowCount="0" totalsRowShown="0">
  <x:tableColumns count="9">
    <x:tableColumn id="1" name="Kayıt"/>
    <x:tableColumn id="2" name="Denetim konusu"/>
    <x:tableColumn id="3" name="Bulgular"/>
    <x:tableColumn id="4" name="Kanıt sınıfı"/>
    <x:tableColumn id="5" name="Mevcut yerel gerçek"/>
    <x:tableColumn id="6" name="Kapanış ölçütü"/>
    <x:tableColumn id="7" name="Sahip"/>
    <x:tableColumn id="8" name="Durum"/>
    <x:tableColumn id="9" name="No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F09ScenarioTable" displayName="CF09ScenarioTable" ref="B25:J31" headerRowCount="1" totalsRowCount="0" totalsRowShown="0">
  <x:tableColumns count="9">
    <x:tableColumn id="1" name="Senaryo"/>
    <x:tableColumn id="2" name="Mantıksal dal"/>
    <x:tableColumn id="3" name="Topoloji"/>
    <x:tableColumn id="4" name="Durum"/>
    <x:tableColumn id="5" name="Gerekli önkoşul"/>
    <x:tableColumn id="6" name="Teknik yorum"/>
    <x:tableColumn id="7" name="İzin verilen iddia"/>
    <x:tableColumn id="8" name="Kanıt sınıfı"/>
    <x:tableColumn id="9" name="Kayna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wnershipTable" displayName="OwnershipTable" ref="B5:H8" headerRowCount="1" totalsRowCount="0" totalsRowShown="0">
  <x:tableColumns count="7">
    <x:tableColumn id="1" name="Rol"/>
    <x:tableColumn id="2" name="Gerçek kişi"/>
    <x:tableColumn id="3" name="Yetki / atama kanıtı"/>
    <x:tableColumn id="4" name="Bağımsızlık beyanı"/>
    <x:tableColumn id="5" name="İmza tarihi"/>
    <x:tableColumn id="6" name="İmza durumu"/>
    <x:tableColumn id="7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866183c87143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08df73604d49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056a6d40cc47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3ef30a88d747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320645cffe4bf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24" hidden="0" customWidth="1"/>
    <x:col min="3" max="3" width="50" hidden="0" customWidth="1"/>
    <x:col min="4" max="4" width="26" hidden="0" customWidth="1"/>
    <x:col min="5" max="5" width="5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G1-JOB01 Kapanış Kaydı v1.3.2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Yerel kapanış çalışma kitabı · 18.10.2026 · v1.3.2 CF-09 koşullu eşleme, sahiplik bağı ve satır bazlı çelişki kanıtı kontrolleri sertleştirildi; formül insan onayının yerine geçmez.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4" t="str">
        <x:v>Kayıt kimliği</x:v>
      </x:c>
      <x:c r="C5" s="15" t="str">
        <x:v>WF01-G1-JOB01-CLOSE-v1.3.2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14" t="str">
        <x:v>Kapsam</x:v>
      </x:c>
      <x:c r="C6" s="15" t="str">
        <x:v>JOB-01 / REP-01; PKG-C yalnız portföy kapısında kapsamda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14" t="str">
        <x:v>G1-JOB01 / REP01</x:v>
      </x:c>
      <x:c r="C7" s="15" t="str">
        <x:f>IF(COUNTIF('Closure Checks'!$E$6:$E$13,"PASS")=8,"PASS","BLOCKED")</x:f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14" t="str">
        <x:v>G1-PORTFOLIO</x:v>
      </x:c>
      <x:c r="C8" s="15" t="str">
        <x:v>BLOCKED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14" t="str">
        <x:v>G2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G3</x:v>
      </x:c>
      <x:c r="C10" s="15" t="str">
        <x:v>NOT_RUN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57" t="str">
        <x:v>G5 uygulanabilirliği</x:v>
      </x:c>
      <x:c r="C11" s="58" t="str">
        <x:v>UNKNOWN</x:v>
      </x:c>
      <x:c r="D11" s="58" t="str">
        <x:v>Bench yürütmesi</x:v>
      </x:c>
      <x:c r="E11" s="58" t="str">
        <x:v>NOT_RUN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14" t="str">
        <x:v>Çalışma sınırı</x:v>
      </x:c>
      <x:c r="C12" s="15" t="str">
        <x:v>Yerel dosyalar; Drive/uzak yazma, Git commit/push yok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Atomik kapanış özeti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Durum</x:v>
      </x:c>
      <x:c r="C16" s="24" t="str">
        <x:v>Adet</x:v>
      </x:c>
      <x:c r="D16" s="24" t="str">
        <x:v>Anlam</x:v>
      </x:c>
      <x:c r="E16" s="24" t="str">
        <x:v>G1 etkisi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15" t="str">
        <x:v>PASS</x:v>
      </x:c>
      <x:c r="C17" s="15" t="n">
        <x:f>COUNTIF('Closure Checks'!$E$6:$E$13,B17)</x:f>
        <x:v>2</x:v>
      </x:c>
      <x:c r="D17" s="15" t="str">
        <x:v>Kanıtla kapanmış kontrol</x:v>
      </x:c>
      <x:c r="E17" s="15" t="str">
        <x:v>Tek başına kapıyı açmaz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BLOCKED</x:v>
      </x:c>
      <x:c r="C18" s="15" t="n">
        <x:f>COUNTIF('Closure Checks'!$E$6:$E$13,B18)</x:f>
        <x:v>6</x:v>
      </x:c>
      <x:c r="D18" s="15" t="str">
        <x:v>Bağımlılık veya yetkili karar eksik</x:v>
      </x:c>
      <x:c r="E18" s="15" t="str">
        <x:v>G1-JOB01 BLOCKED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UNKNOWN</x:v>
      </x:c>
      <x:c r="C19" s="15" t="n">
        <x:f>COUNTIF('Closure Checks'!$E$6:$E$13,B19)</x:f>
        <x:v>0</x:v>
      </x:c>
      <x:c r="D19" s="15" t="str">
        <x:v>Kaynakta yok veya belirlenmedi</x:v>
      </x:c>
      <x:c r="E19" s="15" t="str">
        <x:v>PASS üretmez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NOT_RUN</x:v>
      </x:c>
      <x:c r="C20" s="15" t="n">
        <x:f>COUNTIF('Closure Checks'!$E$6:$E$13,B20)</x:f>
        <x:v>0</x:v>
      </x:c>
      <x:c r="D20" s="15" t="str">
        <x:v>Doğrulama çalıştırılmadı</x:v>
      </x:c>
      <x:c r="E20" s="15" t="str">
        <x:v>PASS üretmez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19" t="str">
        <x:v>Kapanış sonucu ve güvenli sonraki adımlar</x:v>
      </x:c>
      <x:c r="C22" s="19"/>
      <x:c r="D22" s="19"/>
      <x:c r="E22" s="19"/>
      <x:c r="F22" s="19"/>
      <x:c r="G22" s="19"/>
      <x:c r="H22" s="19"/>
      <x:c r="I22" s="19"/>
      <x:c r="J22" s="1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4" t="str">
        <x:v>Öncelik</x:v>
      </x:c>
      <x:c r="C24" s="24" t="str">
        <x:v>Açık konu</x:v>
      </x:c>
      <x:c r="D24" s="24" t="str">
        <x:v>Mevcut durum</x:v>
      </x:c>
      <x:c r="E24" s="24" t="str">
        <x:v>Sonraki güvenli adım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hidden="0" customHeight="1">
      <x:c r="A25" s="2"/>
      <x:c r="B25" s="15" t="n">
        <x:v>1</x:v>
      </x:c>
      <x:c r="C25" s="15" t="str">
        <x:v>PKG-A ve PKG-B özgün dosyaları</x:v>
      </x:c>
      <x:c r="D25" s="15" t="str">
        <x:v>BLOCKED</x:v>
      </x:c>
      <x:c r="E25" s="15" t="str">
        <x:v>Yerel salt okunur kopyayı sağla; bayt, dosya sayısı/tree hash, lisans, provenans ve tekrar/çelişki kontrolünü çalıştır.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2"/>
      <x:c r="B26" s="15" t="n">
        <x:v>2</x:v>
      </x:c>
      <x:c r="C26" s="15" t="str">
        <x:v>Q-C07 ve koşullu Q-C07-MAP</x:v>
      </x:c>
      <x:c r="D26" s="15" t="str">
        <x:v>BLOCKED</x:v>
      </x:c>
      <x:c r="E26" s="15" t="str">
        <x:v>CF09 matrisindeki Girdi Formu ile MIRRORED_5 veya INDEPENDENT_10 dalını kanıtla; MIRRORED_5 ise eşleme tanımını zorunlu doldur.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n">
        <x:v>3</x:v>
      </x:c>
      <x:c r="C27" s="15" t="str">
        <x:v>Kapı sahipliği ve bağımsız doğrulama</x:v>
      </x:c>
      <x:c r="D27" s="15" t="str">
        <x:v>BLOCKED</x:v>
      </x:c>
      <x:c r="E27" s="15" t="str">
        <x:v>Gate Owner, Evidence Owner ve bağımsız doğrulayan gerçek kişi adlarını, yetki dayanaklarını, tarihlerini ve imzalarını kaydet.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6" hidden="0" customHeight="1">
      <x:c r="A28" s="2"/>
      <x:c r="B28" s="15" t="n">
        <x:v>4</x:v>
      </x:c>
      <x:c r="C28" s="15" t="str">
        <x:v>Q-C12–15; Q-C11; JTAG; USB_PHY_SEL</x:v>
      </x:c>
      <x:c r="D28" s="15" t="str">
        <x:v>UNKNOWN</x:v>
      </x:c>
      <x:c r="E28" s="15" t="str">
        <x:v>Bunları G2/G3/G5 devir girdileri olarak sahipli tut; kaynakta olmayan teknik değer veya exact-part uydurma.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n">
        <x:v>5</x:v>
      </x:c>
      <x:c r="C29" s="15" t="str">
        <x:v>Şematik, ERC ve bench</x:v>
      </x:c>
      <x:c r="D29" s="15" t="str">
        <x:v>NOT_RUN</x:v>
      </x:c>
      <x:c r="E29" s="15" t="str">
        <x:v>G1 ve G2 PASS olmadan donanım yazımı veya fiziksel PASS iddiası üretme.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8" hidden="0" customHeight="1">
      <x:c r="A31" s="2"/>
      <x:c r="B31" s="39" t="str">
        <x:v>Kapanış hükmü: G1-JOB01/REP01 BLOCKED. Özgün PKG-A/B kaynak kimliği, Q-C07 (ve MIRRORED_5 seçilirse Q-C07-MAP), adlandırılmış sahiplik ve bağımsız doğrulama kapanmadan G2 tasarım girdileri dondurulamaz. Q-C12–15, Q-C11, JTAG ve USB_PHY_SEL nihai kararları sonraki kapılara aittir.</x:v>
      </x:c>
      <x:c r="C31" s="40"/>
      <x:c r="D31" s="40"/>
      <x:c r="E31" s="40"/>
      <x:c r="F31" s="40"/>
      <x:c r="G31" s="40"/>
      <x:c r="H31" s="40"/>
      <x:c r="I31" s="40"/>
      <x:c r="J31" s="41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8" hidden="0" customHeight="1">
      <x:c r="A32" s="2"/>
      <x:c r="B32" s="42"/>
      <x:c r="C32" s="43"/>
      <x:c r="D32" s="43"/>
      <x:c r="E32" s="43"/>
      <x:c r="F32" s="43"/>
      <x:c r="G32" s="43"/>
      <x:c r="H32" s="43"/>
      <x:c r="I32" s="43"/>
      <x:c r="J32" s="44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14:J14"/>
    <x:mergeCell ref="B22:J22"/>
    <x:mergeCell ref="B31:J32"/>
  </x:mergeCells>
  <x:conditionalFormatting sqref="C7:C11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B17:B20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conditionalFormatting sqref="D25:D29">
    <x:cfRule type="containsText" dxfId="8" priority="9" operator="containsText" text="PASS"/>
    <x:cfRule type="containsText" dxfId="9" priority="10" operator="containsText" text="BLOCKED"/>
    <x:cfRule type="containsText" dxfId="10" priority="11" operator="containsText" text="UNKNOWN"/>
    <x:cfRule type="containsText" dxfId="11" priority="12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0" hidden="0" customWidth="1"/>
    <x:col min="3" max="3" width="43" hidden="0" customWidth="1"/>
    <x:col min="4" max="4" width="37" hidden="0" customWidth="1"/>
    <x:col min="5" max="5" width="14" hidden="0" customWidth="1"/>
    <x:col min="6" max="6" width="16" hidden="0" customWidth="1"/>
    <x:col min="7" max="7" width="22" hidden="0" customWidth="1"/>
    <x:col min="8" max="8" width="39" hidden="0" customWidth="1"/>
    <x:col min="9" max="9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Atomik G1 Kapanış Kontrolleri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Sekiz kontrolün tamamı PASS olmadıkça Gate Summary'deki G1-JOB01 sonucu BLOCKED kalır.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Kontrol</x:v>
      </x:c>
      <x:c r="C5" s="24" t="str">
        <x:v>Kapanış ölçütü</x:v>
      </x:c>
      <x:c r="D5" s="24" t="str">
        <x:v>Kanıt kaynağı</x:v>
      </x:c>
      <x:c r="E5" s="24" t="str">
        <x:v>Durum</x:v>
      </x:c>
      <x:c r="F5" s="24" t="str">
        <x:v>Kapı etkisi</x:v>
      </x:c>
      <x:c r="G5" s="24" t="str">
        <x:v>Sahip</x:v>
      </x:c>
      <x:c r="H5" s="24" t="str">
        <x:v>Açık kalma nedeni</x:v>
      </x:c>
      <x:c r="I5" s="24" t="str">
        <x:v>Sonraki işlem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X1A</x:v>
      </x:c>
      <x:c r="C6" s="15" t="str">
        <x:v>Gate Owner atanmış, yetki kanıtı ve imza PASS</x:v>
      </x:c>
      <x:c r="D6" s="15" t="str">
        <x:v>Ownership Signoff / GATE_OWNER</x:v>
      </x:c>
      <x:c r="E6" s="15" t="str">
        <x:f>IF(AND('Ownership Signoff'!$C$6&lt;&gt;"",'Ownership Signoff'!$C$6&lt;&gt;"TBD",'Ownership Signoff'!$D$6&lt;&gt;"",'Ownership Signoff'!$F$6&lt;&gt;"",'Ownership Signoff'!$G$6="PASS"),"PASS","BLOCKED")</x:f>
        <x:v>BLOCKED</x:v>
      </x:c>
      <x:c r="F6" s="15" t="str">
        <x:v>Gate Owner</x:v>
      </x:c>
      <x:c r="G6" s="15" t="str">
        <x:v>BLOCKED</x:v>
      </x:c>
      <x:c r="H6" s="15" t="str">
        <x:v>Gerçek kişi adı, yetki dayanağı ve imza yok</x:v>
      </x:c>
      <x:c r="I6" s="15" t="str">
        <x:v>Ownership Signoff girişlerini doldur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X1B</x:v>
      </x:c>
      <x:c r="C7" s="15" t="str">
        <x:v>Evidence Owner atanmış, yetki kanıtı ve imza PASS</x:v>
      </x:c>
      <x:c r="D7" s="15" t="str">
        <x:v>Ownership Signoff / EVIDENCE_OWNER</x:v>
      </x:c>
      <x:c r="E7" s="15" t="str">
        <x:f>IF(AND('Ownership Signoff'!$C$7&lt;&gt;"",'Ownership Signoff'!$C$7&lt;&gt;"TBD",'Ownership Signoff'!$D$7&lt;&gt;"",'Ownership Signoff'!$F$7&lt;&gt;"",'Ownership Signoff'!$G$7="PASS"),"PASS","BLOCKED")</x:f>
        <x:v>BLOCKED</x:v>
      </x:c>
      <x:c r="F7" s="15" t="str">
        <x:v>Evidence Owner</x:v>
      </x:c>
      <x:c r="G7" s="15" t="str">
        <x:v>BLOCKED</x:v>
      </x:c>
      <x:c r="H7" s="15" t="str">
        <x:v>Gerçek kişi adı, yetki dayanağı ve imza yok</x:v>
      </x:c>
      <x:c r="I7" s="15" t="str">
        <x:v>Ownership Signoff girişlerini doldur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X1C</x:v>
      </x:c>
      <x:c r="C8" s="15" t="str">
        <x:v>Bağımsız doğrulayan atanmış, bağımsızlık beyanı ve imza PASS</x:v>
      </x:c>
      <x:c r="D8" s="15" t="str">
        <x:v>Ownership Signoff / INDEPENDENT_VERIFIER</x:v>
      </x:c>
      <x:c r="E8" s="15" t="str">
        <x:f>IF(AND('Ownership Signoff'!$C$8&lt;&gt;"",'Ownership Signoff'!$C$8&lt;&gt;"TBD",'Ownership Signoff'!$D$8&lt;&gt;"",'Ownership Signoff'!$E$8&lt;&gt;"",'Ownership Signoff'!$F$8&lt;&gt;"",'Ownership Signoff'!$G$8="PASS",'Ownership Signoff'!$C$8&lt;&gt;'Ownership Signoff'!$C$6,'Ownership Signoff'!$C$8&lt;&gt;'Ownership Signoff'!$C$7,'Ownership Signoff'!$C$8&lt;&gt;'Ownership Signoff'!$C$9),"PASS","BLOCKED")</x:f>
        <x:v>BLOCKED</x:v>
      </x:c>
      <x:c r="F8" s="15" t="str">
        <x:v>Independent Verifier</x:v>
      </x:c>
      <x:c r="G8" s="15" t="str">
        <x:v>BLOCKED</x:v>
      </x:c>
      <x:c r="H8" s="15" t="str">
        <x:v>Hazırlayandan bağımsız kişi ve beyan yok</x:v>
      </x:c>
      <x:c r="I8" s="15" t="str">
        <x:v>Bağımsız kişiyi ata ve imzala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X2</x:v>
      </x:c>
      <x:c r="C9" s="15" t="str">
        <x:v>Özgün PKG-A ve PKG-B yerelde mevcut; gerçek yol, bayt/tree-hash, lisans/provenans ve doğrulama PASS</x:v>
      </x:c>
      <x:c r="D9" s="15" t="str">
        <x:v>Source Evidence / PKG-A; PKG-B / E:L</x:v>
      </x:c>
      <x:c r="E9" s="15" t="str">
        <x:f>IF(AND('Source Evidence'!$E$6&lt;&gt;"",'Source Evidence'!$E$7&lt;&gt;"",'Source Evidence'!$E$6&lt;&gt;"Yerel kopya bulunamadı",'Source Evidence'!$E$7&lt;&gt;"Yerel kopya bulunamadı",'Source Evidence'!$F$6="PRESENT",'Source Evidence'!$F$7="PRESENT",'Source Evidence'!$G$6&gt;0,'Source Evidence'!$G$7&gt;0,'Source Evidence'!$H$6&lt;&gt;"",'Source Evidence'!$H$7&lt;&gt;"",'Source Evidence'!$H$6&lt;&gt;"UNKNOWN",'Source Evidence'!$H$7&lt;&gt;"UNKNOWN",'Source Evidence'!$I$6&lt;&gt;"",'Source Evidence'!$I$7&lt;&gt;"",'Source Evidence'!$I$6&lt;&gt;"UNKNOWN",'Source Evidence'!$I$7&lt;&gt;"UNKNOWN",'Source Evidence'!$H$6='Source Evidence'!$I$6,'Source Evidence'!$H$7='Source Evidence'!$I$7,'Source Evidence'!$J$6&lt;&gt;"",'Source Evidence'!$J$7&lt;&gt;"",'Source Evidence'!$J$6&lt;&gt;"UNKNOWN",'Source Evidence'!$J$7&lt;&gt;"UNKNOWN",'Source Evidence'!$K$6&lt;&gt;"",'Source Evidence'!$K$7&lt;&gt;"",'Source Evidence'!$K$6&lt;&gt;"UNKNOWN",'Source Evidence'!$K$7&lt;&gt;"UNKNOWN",'Source Evidence'!$L$6="PASS",'Source Evidence'!$L$7="PASS"),"PASS","BLOCKED")</x:f>
        <x:v>BLOCKED</x:v>
      </x:c>
      <x:c r="F9" s="15" t="str">
        <x:v>Evidence Owner</x:v>
      </x:c>
      <x:c r="G9" s="15" t="str">
        <x:v>BLOCKED</x:v>
      </x:c>
      <x:c r="H9" s="15" t="str">
        <x:v>PKG-A/B özgün dosyaları yerelde yok</x:v>
      </x:c>
      <x:c r="I9" s="15" t="str">
        <x:v>Salt okunur yerel kopyayı getir ve yeniden doğrula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X3</x:v>
      </x:c>
      <x:c r="C10" s="15" t="str">
        <x:v>G1-JOB01 ve G1-PORTFOLIO sınırı insan onayıyla ayrıldı</x:v>
      </x:c>
      <x:c r="D10" s="15" t="str">
        <x:v>WF01-G1-Karar-Paketi-v1.3 + kullanıcı onayı</x:v>
      </x:c>
      <x:c r="E10" s="15" t="str">
        <x:v>PASS</x:v>
      </x:c>
      <x:c r="F10" s="15" t="str">
        <x:v>Gate Owner</x:v>
      </x:c>
      <x:c r="G10" s="15" t="str">
        <x:v>G1_SUPPORT</x:v>
      </x:c>
      <x:c r="H10" s="15" t="str">
        <x:v>Sınır kararı kapanmış</x:v>
      </x:c>
      <x:c r="I10" s="15" t="str">
        <x:v>Kararı koru; iki kapıyı ayrı raporla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X4A</x:v>
      </x:c>
      <x:c r="C11" s="15" t="str">
        <x:v>Q-C07 için izinli mantıksal dal kanıtla seçildi; MIRRORED_5 ise Q-C07-MAP eşleme kanıtı da mevcut</x:v>
      </x:c>
      <x:c r="D11" s="15" t="str">
        <x:v>CF09 Decision / C6:C13; CF09 Matrisi v1.1 / Girdi Formu</x:v>
      </x:c>
      <x:c r="E11" s="15" t="str">
        <x:f>'CF09 Decision'!$C$13</x:f>
        <x:v>BLOCKED</x:v>
      </x:c>
      <x:c r="F11" s="15" t="str">
        <x:v>Customer / Requirements Owner</x:v>
      </x:c>
      <x:c r="G11" s="15" t="str">
        <x:v>BLOCKED</x:v>
      </x:c>
      <x:c r="H11" s="15" t="str">
        <x:v>Q-C07 dalı ve koşullu eşleme yetkili kanıtla kapanmadı</x:v>
      </x:c>
      <x:c r="I11" s="15" t="str">
        <x:v>CF09 Girdi Formunu doldur; yetkili kanıtı ve karar sahibini kaydet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hidden="0" customHeight="1">
      <x:c r="A12" s="2"/>
      <x:c r="B12" s="15" t="str">
        <x:v>X4B</x:v>
      </x:c>
      <x:c r="C12" s="15" t="str">
        <x:v>TFT ilk revizyonda geleceğe dönük DNP kapsamı olarak onaylandı</x:v>
      </x:c>
      <x:c r="D12" s="15" t="str">
        <x:v>WF01-G1-Karar-Paketi-v1.3 + kullanıcı onayı</x:v>
      </x:c>
      <x:c r="E12" s="15" t="str">
        <x:v>PASS</x:v>
      </x:c>
      <x:c r="F12" s="15" t="str">
        <x:v>Gate Owner</x:v>
      </x:c>
      <x:c r="G12" s="15" t="str">
        <x:v>G1_SUPPORT</x:v>
      </x:c>
      <x:c r="H12" s="15" t="str">
        <x:v>DNP kapsam kararı kapanmış; teknik TFT ayrıntıları G2'de açık</x:v>
      </x:c>
      <x:c r="I12" s="15" t="str">
        <x:v>G2'de Q-C11'i kapat; GPIO uydurma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hidden="0" customHeight="1">
      <x:c r="A13" s="2"/>
      <x:c r="B13" s="15" t="str">
        <x:v>X5</x:v>
      </x:c>
      <x:c r="C13" s="15" t="str">
        <x:v>Tekrar/çelişki denetimi tüm satırlarda PASS ve bağımsız doğrulama imzası PASS</x:v>
      </x:c>
      <x:c r="D13" s="15" t="str">
        <x:v>Duplicate Conflict + Ownership Signoff</x:v>
      </x:c>
      <x:c r="E13" s="15" t="str">
        <x:f>IF(AND(COUNTIF('Duplicate Conflict'!$I$6:$I$11,"PASS")=6,'Duplicate Conflict'!$K$6&lt;&gt;"",'Duplicate Conflict'!$K$7&lt;&gt;"",'Duplicate Conflict'!$K$8&lt;&gt;"",'Duplicate Conflict'!$K$9&lt;&gt;"",'Duplicate Conflict'!$K$10&lt;&gt;"",'Duplicate Conflict'!$K$11&lt;&gt;"",'Duplicate Conflict'!$K$6&lt;&gt;"UNKNOWN",'Duplicate Conflict'!$K$7&lt;&gt;"UNKNOWN",'Duplicate Conflict'!$K$8&lt;&gt;"UNKNOWN",'Duplicate Conflict'!$K$9&lt;&gt;"UNKNOWN",'Duplicate Conflict'!$K$10&lt;&gt;"UNKNOWN",'Duplicate Conflict'!$K$11&lt;&gt;"UNKNOWN",'Duplicate Conflict'!$L$6&lt;&gt;"",'Duplicate Conflict'!$L$7&lt;&gt;"",'Duplicate Conflict'!$L$8&lt;&gt;"",'Duplicate Conflict'!$L$9&lt;&gt;"",'Duplicate Conflict'!$L$10&lt;&gt;"",'Duplicate Conflict'!$L$11&lt;&gt;"",'Ownership Signoff'!$G$8="PASS"),"PASS","BLOCKED")</x:f>
        <x:v>BLOCKED</x:v>
      </x:c>
      <x:c r="F13" s="15" t="str">
        <x:v>Independent Verifier</x:v>
      </x:c>
      <x:c r="G13" s="15" t="str">
        <x:v>BLOCKED</x:v>
      </x:c>
      <x:c r="H13" s="15" t="str">
        <x:v>Paket yokluğu ve kayıt çatışmaları kapanmadı</x:v>
      </x:c>
      <x:c r="I13" s="15" t="str">
        <x:v>Tüm denetim satırlarını kanıtla ve imzala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</x:mergeCells>
  <x:conditionalFormatting sqref="E6:F13">
    <x:cfRule type="containsText" dxfId="12" priority="1" operator="containsText" text="PASS"/>
    <x:cfRule type="containsText" dxfId="13" priority="2" operator="containsText" text="BLOCKED"/>
    <x:cfRule type="containsText" dxfId="14" priority="3" operator="containsText" text="UNKNOWN"/>
    <x:cfRule type="containsText" dxfId="1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9f866183c87143dd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2" hidden="0" customWidth="1"/>
    <x:col min="3" max="3" width="35" hidden="0" customWidth="1"/>
    <x:col min="4" max="4" width="24" hidden="0" customWidth="1"/>
    <x:col min="5" max="5" width="54" hidden="0" customWidth="1"/>
    <x:col min="6" max="6" width="15" hidden="0" customWidth="1"/>
    <x:col min="7" max="7" width="15" hidden="0" customWidth="1"/>
    <x:col min="8" max="8" width="36" hidden="0" customWidth="1"/>
    <x:col min="9" max="9" width="36" hidden="0" customWidth="1"/>
    <x:col min="10" max="10" width="24" hidden="0" customWidth="1"/>
    <x:col min="11" max="11" width="34" hidden="0" customWidth="1"/>
    <x:col min="12" max="12" width="15" hidden="0" customWidth="1"/>
    <x:col min="13" max="13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Kaynak ve Provenans Envanteri · v1.3.2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PKG-A/B satırları özgün kaynak kimliğini; diğer satırlar destekleyici kayıt, vekil belge veya araştırmayı gösterir. Beklenen paket değerleri CLAUDE-08 tree hash kaydıdır; tek dosya hash'i olarak yorumlanmaz.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ID</x:v>
      </x:c>
      <x:c r="C5" s="24" t="str">
        <x:v>Kaynak / eser</x:v>
      </x:c>
      <x:c r="D5" s="24" t="str">
        <x:v>Tür</x:v>
      </x:c>
      <x:c r="E5" s="24" t="str">
        <x:v>Yerel konum veya URL</x:v>
      </x:c>
      <x:c r="F5" s="24" t="str">
        <x:v>Yerel durum</x:v>
      </x:c>
      <x:c r="G5" s="24" t="str">
        <x:v>Boyut (bayt)</x:v>
      </x:c>
      <x:c r="H5" s="24" t="str">
        <x:v>Gözlenen SHA-256 / tree hash</x:v>
      </x:c>
      <x:c r="I5" s="24" t="str">
        <x:v>Kayıtlı / beklenen SHA-256 / tree hash</x:v>
      </x:c>
      <x:c r="J5" s="24" t="str">
        <x:v>Kanıt sınıfı</x:v>
      </x:c>
      <x:c r="K5" s="24" t="str">
        <x:v>Lisans / provenans</x:v>
      </x:c>
      <x:c r="L5" s="24" t="str">
        <x:v>Doğrulama</x:v>
      </x:c>
      <x:c r="M5" s="24" t="str">
        <x:v>Sınırlama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6" hidden="0" customHeight="1">
      <x:c r="A6" s="2"/>
      <x:c r="B6" s="15" t="str">
        <x:v>PKG-A</x:v>
      </x:c>
      <x:c r="C6" s="15" t="str">
        <x:v>JOB-01 müşteri paket A</x:v>
      </x:c>
      <x:c r="D6" s="15" t="str">
        <x:v>Özgün kaynak paketi</x:v>
      </x:c>
      <x:c r="E6" s="15" t="str">
        <x:v>Yerel kopya bulunamadı</x:v>
      </x:c>
      <x:c r="F6" s="52" t="str">
        <x:v>MISSING</x:v>
      </x:c>
      <x:c r="G6" s="52" t="str">
        <x:v>UNKNOWN</x:v>
      </x:c>
      <x:c r="H6" s="52" t="str">
        <x:v>UNKNOWN</x:v>
      </x:c>
      <x:c r="I6" s="52" t="str">
        <x:v>CCA30533197956810DBB880C9D767326CB289E83167DF5370CF1A6A8170C4ED4</x:v>
      </x:c>
      <x:c r="J6" s="52" t="str">
        <x:v>HANDOFF_ONLY; UNKNOWN</x:v>
      </x:c>
      <x:c r="K6" s="52" t="str">
        <x:v>CLAUDE-08: 63 dosya, 27.854.101 bayt; yerelde yeniden üretilemedi</x:v>
      </x:c>
      <x:c r="L6" s="52" t="str">
        <x:v>BLOCKED</x:v>
      </x:c>
      <x:c r="M6" s="15" t="str">
        <x:v>Vekil PDF/URL ve uzaktaki ACCESSIBLE iddiası özgün baytların yerine geçmez; tree hash yerelde yeniden üretilemedi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6" hidden="0" customHeight="1">
      <x:c r="A7" s="2"/>
      <x:c r="B7" s="15" t="str">
        <x:v>PKG-B</x:v>
      </x:c>
      <x:c r="C7" s="15" t="str">
        <x:v>JOB-01 müşteri paket B</x:v>
      </x:c>
      <x:c r="D7" s="15" t="str">
        <x:v>Özgün kaynak paketi</x:v>
      </x:c>
      <x:c r="E7" s="15" t="str">
        <x:v>Yerel kopya bulunamadı</x:v>
      </x:c>
      <x:c r="F7" s="52" t="str">
        <x:v>MISSING</x:v>
      </x:c>
      <x:c r="G7" s="52" t="str">
        <x:v>UNKNOWN</x:v>
      </x:c>
      <x:c r="H7" s="52" t="str">
        <x:v>UNKNOWN</x:v>
      </x:c>
      <x:c r="I7" s="52" t="str">
        <x:v>689E48478371EDB21DE96B1C5D547D9767BD22EF0618158792D627996C36052D</x:v>
      </x:c>
      <x:c r="J7" s="52" t="str">
        <x:v>HANDOFF_ONLY; UNKNOWN</x:v>
      </x:c>
      <x:c r="K7" s="52" t="str">
        <x:v>CLAUDE-08: 82 dosya, 128.611.424 bayt; yerelde yeniden üretilemedi</x:v>
      </x:c>
      <x:c r="L7" s="52" t="str">
        <x:v>BLOCKED</x:v>
      </x:c>
      <x:c r="M7" s="15" t="str">
        <x:v>Dört kayıtlı PKG-B PDF hash'i yerel çalışma alanındaki 27 PDF ile eşleşmedi; tree hash yerelde yeniden üretilemedi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6" hidden="0" customHeight="1">
      <x:c r="A8" s="2"/>
      <x:c r="B8" s="15" t="str">
        <x:v>C06</x:v>
      </x:c>
      <x:c r="C8" s="15" t="str">
        <x:v>CLAUDE-06 Requirement Evidence Matrix</x:v>
      </x:c>
      <x:c r="D8" s="15" t="str">
        <x:v>Yerel araştırma kaydı</x:v>
      </x:c>
      <x:c r="E8" s="15" t="str">
        <x:v>C:\Users\jagua\OneDrive\Masaüstü\Model Bağımsız Çalışmaları\15.10.2026\001-Kayıt Notları ve Dokümantasyon\002-Proje Dokümantasyonu\001-Power-Embedded-Interface-Portfolio\06-Claude-Arastirma\CLAUDE-06-Requirement-Evidence-Matrix.csv</x:v>
      </x:c>
      <x:c r="F8" s="15" t="str">
        <x:v>PRESENT</x:v>
      </x:c>
      <x:c r="G8" s="15" t="n">
        <x:v>8879</x:v>
      </x:c>
      <x:c r="H8" s="15" t="str">
        <x:v>32F182FEAB89A09E5A7D2AE8F422053ABF79EA645DB781C1EAE146586637C4CE</x:v>
      </x:c>
      <x:c r="I8" s="15" t="str"/>
      <x:c r="J8" s="15" t="str">
        <x:v>HANDOFF_ONLY</x:v>
      </x:c>
      <x:c r="K8" s="15" t="str">
        <x:v>Yerel dosya; CLAUDE kaydı</x:v>
      </x:c>
      <x:c r="L8" s="15" t="str">
        <x:v>PASS</x:v>
      </x:c>
      <x:c r="M8" s="15" t="str">
        <x:v>Birincil müşteri paketinin yerine geçmez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6" hidden="0" customHeight="1">
      <x:c r="A9" s="2"/>
      <x:c r="B9" s="15" t="str">
        <x:v>C08</x:v>
      </x:c>
      <x:c r="C9" s="15" t="str">
        <x:v>CLAUDE-08 Source Register</x:v>
      </x:c>
      <x:c r="D9" s="15" t="str">
        <x:v>Yerel kaynak sicili</x:v>
      </x:c>
      <x:c r="E9" s="15" t="str">
        <x:v>C:\Users\jagua\OneDrive\Masaüstü\Model Bağımsız Çalışmaları\15.10.2026\001-Kayıt Notları ve Dokümantasyon\002-Proje Dokümantasyonu\001-Power-Embedded-Interface-Portfolio\06-Claude-Arastirma\CLAUDE-08-Source-Register.csv</x:v>
      </x:c>
      <x:c r="F9" s="15" t="str">
        <x:v>PRESENT</x:v>
      </x:c>
      <x:c r="G9" s="15" t="n">
        <x:v>9615</x:v>
      </x:c>
      <x:c r="H9" s="15" t="str">
        <x:v>323C43DA698677D123A9B43F21569F233D591333A44A250EFBA6D6244124DAD2</x:v>
      </x:c>
      <x:c r="I9" s="15" t="str"/>
      <x:c r="J9" s="15" t="str">
        <x:v>HANDOFF_ONLY</x:v>
      </x:c>
      <x:c r="K9" s="15" t="str">
        <x:v>PKG-A/B uzak kimliklerini kaydeder</x:v>
      </x:c>
      <x:c r="L9" s="15" t="str">
        <x:v>PASS</x:v>
      </x:c>
      <x:c r="M9" s="15" t="str">
        <x:v>Kayıtlı hash'ler yerelde yeniden hesaplanamadı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6" hidden="0" customHeight="1">
      <x:c r="A10" s="2"/>
      <x:c r="B10" s="15" t="str">
        <x:v>C09</x:v>
      </x:c>
      <x:c r="C10" s="15" t="str">
        <x:v>CLAUDE-09 Codex Research Handoff</x:v>
      </x:c>
      <x:c r="D10" s="15" t="str">
        <x:v>Yerel devir kaydı</x:v>
      </x:c>
      <x:c r="E10" s="15" t="str">
        <x:v>C:\Users\jagua\OneDrive\Masaüstü\Model Bağımsız Çalışmaları\15.10.2026\001-Kayıt Notları ve Dokümantasyon\002-Proje Dokümantasyonu\001-Power-Embedded-Interface-Portfolio\06-Claude-Arastirma\CLAUDE-09-Codex-Research-Handoff.md</x:v>
      </x:c>
      <x:c r="F10" s="15" t="str">
        <x:v>PRESENT</x:v>
      </x:c>
      <x:c r="G10" s="15" t="n">
        <x:v>2947</x:v>
      </x:c>
      <x:c r="H10" s="15" t="str">
        <x:v>974878AFF812CBFF6652201818458D381A72CF9CA7CDD21AD3F526EC9E152A2F</x:v>
      </x:c>
      <x:c r="I10" s="15" t="str"/>
      <x:c r="J10" s="15" t="str">
        <x:v>HANDOFF_ONLY</x:v>
      </x:c>
      <x:c r="K10" s="15" t="str">
        <x:v>Yerel dosya</x:v>
      </x:c>
      <x:c r="L10" s="15" t="str">
        <x:v>PASS</x:v>
      </x:c>
      <x:c r="M10" s="15" t="str">
        <x:v>Araştırma yönlendirmesi; teknik PASS değildir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6" hidden="0" customHeight="1">
      <x:c r="A11" s="2"/>
      <x:c r="B11" s="15" t="str">
        <x:v>C10</x:v>
      </x:c>
      <x:c r="C11" s="15" t="str">
        <x:v>CLAUDE-10 G1 Readiness Assessment</x:v>
      </x:c>
      <x:c r="D11" s="15" t="str">
        <x:v>Yerel değerlendirme</x:v>
      </x:c>
      <x:c r="E11" s="15" t="str">
        <x:v>C:\Users\jagua\OneDrive\Masaüstü\Model Bağımsız Çalışmaları\15.10.2026\001-Kayıt Notları ve Dokümantasyon\002-Proje Dokümantasyonu\001-Power-Embedded-Interface-Portfolio\06-Claude-Arastirma\CLAUDE-10-G1-Readiness-Assessment.md</x:v>
      </x:c>
      <x:c r="F11" s="15" t="str">
        <x:v>PRESENT</x:v>
      </x:c>
      <x:c r="G11" s="15" t="n">
        <x:v>6609</x:v>
      </x:c>
      <x:c r="H11" s="15" t="str">
        <x:v>FBE92157550A09B03A0E4BCFAA34271E85F2CCB3FD16AE828DFFF0DC8242E4C4</x:v>
      </x:c>
      <x:c r="I11" s="15" t="str"/>
      <x:c r="J11" s="15" t="str">
        <x:v>HANDOFF_ONLY</x:v>
      </x:c>
      <x:c r="K11" s="15" t="str">
        <x:v>Yerel dosya</x:v>
      </x:c>
      <x:c r="L11" s="15" t="str">
        <x:v>PASS</x:v>
      </x:c>
      <x:c r="M11" s="15" t="str">
        <x:v>ACCESSIBLE iddiası mevcut yerel envanterle çatışıyor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6" hidden="0" customHeight="1">
      <x:c r="A12" s="2"/>
      <x:c r="B12" s="15" t="str">
        <x:v>C11</x:v>
      </x:c>
      <x:c r="C12" s="15" t="str">
        <x:v>CLAUDE-11 WROOM1-N8 USB GPIO</x:v>
      </x:c>
      <x:c r="D12" s="15" t="str">
        <x:v>Yerel R&amp;D kaydı</x:v>
      </x:c>
      <x:c r="E12" s="15" t="str">
        <x:v>C:\Users\jagua\OneDrive\Masaüstü\Model Bağımsız Çalışmaları\15.10.2026\001-Kayıt Notları ve Dokümantasyon\002-Proje Dokümantasyonu\001-Power-Embedded-Interface-Portfolio\06-Claude-Arastirma\CLAUDE-11-RnD-WROOM1-N8-USB-GPIO.md</x:v>
      </x:c>
      <x:c r="F12" s="15" t="str">
        <x:v>PRESENT</x:v>
      </x:c>
      <x:c r="G12" s="15" t="n">
        <x:v>6679</x:v>
      </x:c>
      <x:c r="H12" s="15" t="str">
        <x:v>D9D85EF5FFD6402BC227F016E3E917D4DEC6E5005995CD9EEF52A72051051F1B</x:v>
      </x:c>
      <x:c r="I12" s="15" t="str"/>
      <x:c r="J12" s="15" t="str">
        <x:v>SECONDARY_SOURCE</x:v>
      </x:c>
      <x:c r="K12" s="15" t="str">
        <x:v>Yerel dosya; üretici belgelerine dayanır</x:v>
      </x:c>
      <x:c r="L12" s="15" t="str">
        <x:v>PASS</x:v>
      </x:c>
      <x:c r="M12" s="15" t="str">
        <x:v>CF-09 veri ilişkisini belirtmez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6" hidden="0" customHeight="1">
      <x:c r="A13" s="2"/>
      <x:c r="B13" s="15" t="str">
        <x:v>C11A</x:v>
      </x:c>
      <x:c r="C13" s="15" t="str">
        <x:v>CLAUDE-11a pin evidence</x:v>
      </x:c>
      <x:c r="D13" s="15" t="str">
        <x:v>Yerel pin kanıtı</x:v>
      </x:c>
      <x:c r="E13" s="15" t="str">
        <x:v>C:\Users\jagua\OneDrive\Masaüstü\Model Bağımsız Çalışmaları\15.10.2026\001-Kayıt Notları ve Dokümantasyon\002-Proje Dokümantasyonu\001-Power-Embedded-Interface-Portfolio\06-Claude-Arastirma\CLAUDE-11a-WROOM1-N8-Pin-Evidence.csv</x:v>
      </x:c>
      <x:c r="F13" s="15" t="str">
        <x:v>PRESENT</x:v>
      </x:c>
      <x:c r="G13" s="15" t="n">
        <x:v>5799</x:v>
      </x:c>
      <x:c r="H13" s="15" t="str">
        <x:v>CF4B739F8663F4696CC788CB1B6C51177B2B02F058DFFE118DB042CCA3358CBE</x:v>
      </x:c>
      <x:c r="I13" s="15" t="str"/>
      <x:c r="J13" s="15" t="str">
        <x:v>SECONDARY_SOURCE</x:v>
      </x:c>
      <x:c r="K13" s="15" t="str">
        <x:v>Yerel dosya</x:v>
      </x:c>
      <x:c r="L13" s="15" t="str">
        <x:v>PASS</x:v>
      </x:c>
      <x:c r="M13" s="15" t="str">
        <x:v>GPIO bütçesi sağlar; 10 bağımsız akış kapasitesi kanıtı değildir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6" hidden="0" customHeight="1">
      <x:c r="A14" s="2"/>
      <x:c r="B14" s="15" t="str">
        <x:v>URL-01</x:v>
      </x:c>
      <x:c r="C14" s="15" t="str">
        <x:v>CR-01-24V-ESP32-S3-Controller.url</x:v>
      </x:c>
      <x:c r="D14" s="15" t="str">
        <x:v>URL kısayolu</x:v>
      </x:c>
      <x:c r="E14" s="15" t="str">
        <x:v>Yerel çalışma alanı</x:v>
      </x:c>
      <x:c r="F14" s="15" t="str">
        <x:v>PRESENT</x:v>
      </x:c>
      <x:c r="G14" s="15" t="n">
        <x:v>142</x:v>
      </x:c>
      <x:c r="H14" s="15" t="str">
        <x:v>082BAA84BA80F805C5BD08B9A822AAEE654E53B1D41126B81C8E42C570F02154</x:v>
      </x:c>
      <x:c r="I14" s="15" t="str"/>
      <x:c r="J14" s="15" t="str">
        <x:v>SECONDARY_SOURCE</x:v>
      </x:c>
      <x:c r="K14" s="15" t="str">
        <x:v>Bayt özdeş URL kısayolu</x:v>
      </x:c>
      <x:c r="L14" s="15" t="str">
        <x:v>PASS</x:v>
      </x:c>
      <x:c r="M14" s="15" t="str">
        <x:v>JOB-01 URL ile yinelenen; paket değildir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6" hidden="0" customHeight="1">
      <x:c r="A15" s="2"/>
      <x:c r="B15" s="15" t="str">
        <x:v>URL-02</x:v>
      </x:c>
      <x:c r="C15" s="15" t="str">
        <x:v>JOB-01-ESP32-S3-24V-Controller.url</x:v>
      </x:c>
      <x:c r="D15" s="15" t="str">
        <x:v>URL kısayolu</x:v>
      </x:c>
      <x:c r="E15" s="15" t="str">
        <x:v>Yerel çalışma alanı</x:v>
      </x:c>
      <x:c r="F15" s="15" t="str">
        <x:v>PRESENT</x:v>
      </x:c>
      <x:c r="G15" s="15" t="n">
        <x:v>142</x:v>
      </x:c>
      <x:c r="H15" s="15" t="str">
        <x:v>082BAA84BA80F805C5BD08B9A822AAEE654E53B1D41126B81C8E42C570F02154</x:v>
      </x:c>
      <x:c r="I15" s="15" t="str"/>
      <x:c r="J15" s="15" t="str">
        <x:v>SECONDARY_SOURCE</x:v>
      </x:c>
      <x:c r="K15" s="15" t="str">
        <x:v>Bayt özdeş URL kısayolu</x:v>
      </x:c>
      <x:c r="L15" s="15" t="str">
        <x:v>PASS</x:v>
      </x:c>
      <x:c r="M15" s="15" t="str">
        <x:v>CR-01 URL ile yinelenen; paket değildir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6" hidden="0" customHeight="1">
      <x:c r="A16" s="2"/>
      <x:c r="B16" s="15" t="str">
        <x:v>PDF-01</x:v>
      </x:c>
      <x:c r="C16" s="15" t="str">
        <x:v>ESP32-S3 Hardware Design Guidelines</x:v>
      </x:c>
      <x:c r="D16" s="15" t="str">
        <x:v>Resmî üretici PDF</x:v>
      </x:c>
      <x:c r="E16" s="15" t="str">
        <x:v>C:\Users\jagua\OneDrive\Masaüstü\Model Bağımsız Çalışmaları\15.10.2026\001-Kayıt Notları ve Dokümantasyon\003-Referans Kaynaklar\002-PDF'ler\001-Power-Embedded-Interface-Portfolio\PDF-01_ESP32-S3_Hardware_Design_Guidelines.pdf</x:v>
      </x:c>
      <x:c r="F16" s="15" t="str">
        <x:v>PRESENT</x:v>
      </x:c>
      <x:c r="G16" s="15" t="n">
        <x:v>4193822</x:v>
      </x:c>
      <x:c r="H16" s="15" t="str">
        <x:v>057F6DF63E10A2DFC155CF19D942ADF5780127D839626E2BEB4C1A61EFEAF3A5</x:v>
      </x:c>
      <x:c r="I16" s="15" t="str"/>
      <x:c r="J16" s="15" t="str">
        <x:v>SECONDARY_SOURCE</x:v>
      </x:c>
      <x:c r="K16" s="15" t="str">
        <x:v>Espressif; dokümantasyon CC BY-SA 4.0</x:v>
      </x:c>
      <x:c r="L16" s="15" t="str">
        <x:v>PASS</x:v>
      </x:c>
      <x:c r="M16" s="15" t="str">
        <x:v>PKG-A/B kimliğinin yerine geçmez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6" hidden="0" customHeight="1">
      <x:c r="A17" s="2"/>
      <x:c r="B17" s="15" t="str">
        <x:v>PDF-02</x:v>
      </x:c>
      <x:c r="C17" s="15" t="str">
        <x:v>ESP32-S3 Technical Reference Manual</x:v>
      </x:c>
      <x:c r="D17" s="15" t="str">
        <x:v>Resmî üretici PDF</x:v>
      </x:c>
      <x:c r="E17" s="15" t="str">
        <x:v>C:\Users\jagua\OneDrive\Masaüstü\Model Bağımsız Çalışmaları\15.10.2026\001-Kayıt Notları ve Dokümantasyon\003-Referans Kaynaklar\002-PDF'ler\001-Power-Embedded-Interface-Portfolio\PDF-02_ESP32-S3_Technical_Reference_Manual.pdf</x:v>
      </x:c>
      <x:c r="F17" s="15" t="str">
        <x:v>PRESENT</x:v>
      </x:c>
      <x:c r="G17" s="15" t="n">
        <x:v>15215232</x:v>
      </x:c>
      <x:c r="H17" s="15" t="str">
        <x:v>4484BF8A69035EC42A731C58C64ADA6FBD1F1618C5559409F134D9EA083F444F</x:v>
      </x:c>
      <x:c r="I17" s="15" t="str"/>
      <x:c r="J17" s="15" t="str">
        <x:v>SECONDARY_SOURCE</x:v>
      </x:c>
      <x:c r="K17" s="15" t="str">
        <x:v>Espressif; açık belge lisansı belirlenmedi</x:v>
      </x:c>
      <x:c r="L17" s="15" t="str">
        <x:v>PASS</x:v>
      </x:c>
      <x:c r="M17" s="15" t="str">
        <x:v>PKG-A/B kimliğinin yerine geçmez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56" hidden="0" customHeight="1">
      <x:c r="A18" s="2"/>
      <x:c r="B18" s="15" t="str">
        <x:v>PDF-04</x:v>
      </x:c>
      <x:c r="C18" s="15" t="str">
        <x:v>ESP32-S3 USB-OTG User Guide</x:v>
      </x:c>
      <x:c r="D18" s="15" t="str">
        <x:v>Resmî üretici PDF</x:v>
      </x:c>
      <x:c r="E18" s="15" t="str">
        <x:v>C:\Users\jagua\OneDrive\Masaüstü\Model Bağımsız Çalışmaları\15.10.2026\001-Kayıt Notları ve Dokümantasyon\003-Referans Kaynaklar\002-PDF'ler\001-Power-Embedded-Interface-Portfolio\PDF-04_ESP32-S3_USB-OTG_User_Guide_Combined.pdf</x:v>
      </x:c>
      <x:c r="F18" s="15" t="str">
        <x:v>PRESENT</x:v>
      </x:c>
      <x:c r="G18" s="15" t="n">
        <x:v>14152323</x:v>
      </x:c>
      <x:c r="H18" s="15" t="str">
        <x:v>522B653D623929DC5F7E78B355A2712B8263A11563FA2529529FFCA3D26D6073</x:v>
      </x:c>
      <x:c r="I18" s="15" t="str"/>
      <x:c r="J18" s="15" t="str">
        <x:v>SECONDARY_SOURCE</x:v>
      </x:c>
      <x:c r="K18" s="15" t="str">
        <x:v>Espressif; dokümantasyon CC BY-SA 4.0</x:v>
      </x:c>
      <x:c r="L18" s="15" t="str">
        <x:v>PASS</x:v>
      </x:c>
      <x:c r="M18" s="15" t="str">
        <x:v>USB teknik vekili; müşteri paketi değildir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56" hidden="0" customHeight="1">
      <x:c r="A19" s="2"/>
      <x:c r="B19" s="15" t="str">
        <x:v>PDF-05/06</x:v>
      </x:c>
      <x:c r="C19" s="15" t="str">
        <x:v>TPS2553 / TPS2553-1 datasheet</x:v>
      </x:c>
      <x:c r="D19" s="15" t="str">
        <x:v>Resmî üretici PDF</x:v>
      </x:c>
      <x:c r="E19" s="15" t="str">
        <x:v>C:\Users\jagua\OneDrive\Masaüstü\Model Bağımsız Çalışmaları\15.10.2026\001-Kayıt Notları ve Dokümantasyon\003-Referans Kaynaklar\002-PDF'ler\001-Power-Embedded-Interface-Portfolio\PDF-05_PDF-06_TPS2553_TPS2553-1_Datasheet.pdf</x:v>
      </x:c>
      <x:c r="F19" s="15" t="str">
        <x:v>PRESENT</x:v>
      </x:c>
      <x:c r="G19" s="15" t="n">
        <x:v>2091666</x:v>
      </x:c>
      <x:c r="H19" s="15" t="str">
        <x:v>88E453700CEA2B263CDB5B44FCE1E883E0F6D3B975457F879AC1423EEEA42071</x:v>
      </x:c>
      <x:c r="I19" s="15" t="str"/>
      <x:c r="J19" s="15" t="str">
        <x:v>SECONDARY_SOURCE</x:v>
      </x:c>
      <x:c r="K19" s="15" t="str">
        <x:v>Texas Instruments; açık lisans değil</x:v>
      </x:c>
      <x:c r="L19" s="15" t="str">
        <x:v>PASS</x:v>
      </x:c>
      <x:c r="M19" s="15" t="str">
        <x:v>Exact-part seçimi değildir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6" hidden="0" customHeight="1">
      <x:c r="A20" s="2"/>
      <x:c r="B20" s="15" t="str">
        <x:v>PDF-07</x:v>
      </x:c>
      <x:c r="C20" s="15" t="str">
        <x:v>TPS2051C datasheet</x:v>
      </x:c>
      <x:c r="D20" s="15" t="str">
        <x:v>Resmî üretici PDF</x:v>
      </x:c>
      <x:c r="E20" s="15" t="str">
        <x:v>C:\Users\jagua\OneDrive\Masaüstü\Model Bağımsız Çalışmaları\15.10.2026\001-Kayıt Notları ve Dokümantasyon\003-Referans Kaynaklar\002-PDF'ler\001-Power-Embedded-Interface-Portfolio\PDF-07_TPS2051C_Datasheet.pdf</x:v>
      </x:c>
      <x:c r="F20" s="15" t="str">
        <x:v>PRESENT</x:v>
      </x:c>
      <x:c r="G20" s="15" t="n">
        <x:v>2726989</x:v>
      </x:c>
      <x:c r="H20" s="15" t="str">
        <x:v>898C093489AC30DDE4C62F1CCAEAF71573239021A93DA4182EB8EFADF4BE3FCD</x:v>
      </x:c>
      <x:c r="I20" s="15" t="str"/>
      <x:c r="J20" s="15" t="str">
        <x:v>SECONDARY_SOURCE</x:v>
      </x:c>
      <x:c r="K20" s="15" t="str">
        <x:v>Texas Instruments; açık lisans değil</x:v>
      </x:c>
      <x:c r="L20" s="15" t="str">
        <x:v>PASS</x:v>
      </x:c>
      <x:c r="M20" s="15" t="str">
        <x:v>Exact-part seçimi değildir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56" hidden="0" customHeight="1">
      <x:c r="A21" s="2"/>
      <x:c r="B21" s="15" t="str">
        <x:v>PDF-08</x:v>
      </x:c>
      <x:c r="C21" s="15" t="str">
        <x:v>LM7480-Q1 datasheet</x:v>
      </x:c>
      <x:c r="D21" s="15" t="str">
        <x:v>Resmî üretici PDF</x:v>
      </x:c>
      <x:c r="E21" s="15" t="str">
        <x:v>C:\Users\jagua\OneDrive\Masaüstü\Model Bağımsız Çalışmaları\15.10.2026\001-Kayıt Notları ve Dokümantasyon\003-Referans Kaynaklar\002-PDF'ler\001-Power-Embedded-Interface-Portfolio\PDF-08_LM7480-Q1_Datasheet.pdf</x:v>
      </x:c>
      <x:c r="F21" s="15" t="str">
        <x:v>PRESENT</x:v>
      </x:c>
      <x:c r="G21" s="15" t="n">
        <x:v>9773286</x:v>
      </x:c>
      <x:c r="H21" s="15" t="str">
        <x:v>38EA1E89CC677020C8A10096649FA7933D2AEFF8C0CD97CA9A78C1F8F5B9B500</x:v>
      </x:c>
      <x:c r="I21" s="15" t="str"/>
      <x:c r="J21" s="15" t="str">
        <x:v>SECONDARY_SOURCE</x:v>
      </x:c>
      <x:c r="K21" s="15" t="str">
        <x:v>Texas Instruments; açık lisans değil</x:v>
      </x:c>
      <x:c r="L21" s="15" t="str">
        <x:v>PASS</x:v>
      </x:c>
      <x:c r="M21" s="15" t="str">
        <x:v>Exact-part seçimi değildir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6" hidden="0" customHeight="1">
      <x:c r="A22" s="2"/>
      <x:c r="B22" s="15" t="str">
        <x:v>PDF-09</x:v>
      </x:c>
      <x:c r="C22" s="15" t="str">
        <x:v>KiCad 9 CLI documentation</x:v>
      </x:c>
      <x:c r="D22" s="15" t="str">
        <x:v>Resmî araç PDF</x:v>
      </x:c>
      <x:c r="E22" s="15" t="str">
        <x:v>C:\Users\jagua\OneDrive\Masaüstü\Model Bağımsız Çalışmaları\15.10.2026\001-Kayıt Notları ve Dokümantasyon\003-Referans Kaynaklar\002-PDF'ler\001-Power-Embedded-Interface-Portfolio\PDF-09_KiCad_9_CLI.pdf</x:v>
      </x:c>
      <x:c r="F22" s="15" t="str">
        <x:v>PRESENT</x:v>
      </x:c>
      <x:c r="G22" s="15" t="n">
        <x:v>634770</x:v>
      </x:c>
      <x:c r="H22" s="15" t="str">
        <x:v>264CBA184C2B606965084390B33A4B10765225DC2DB954B17A4BC1FA73F6358D</x:v>
      </x:c>
      <x:c r="I22" s="15" t="str"/>
      <x:c r="J22" s="15" t="str">
        <x:v>SECONDARY_SOURCE</x:v>
      </x:c>
      <x:c r="K22" s="15" t="str">
        <x:v>GPL-3+ / CC-BY-3+</x:v>
      </x:c>
      <x:c r="L22" s="15" t="str">
        <x:v>PASS</x:v>
      </x:c>
      <x:c r="M22" s="15" t="str">
        <x:v>G3 araç kanıtı; bu oturumda doğrulama çalıştırılmadı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56" hidden="0" customHeight="1">
      <x:c r="A23" s="2"/>
      <x:c r="B23" s="15" t="str">
        <x:v>PDF-11</x:v>
      </x:c>
      <x:c r="C23" s="15" t="str">
        <x:v>ngspice manual</x:v>
      </x:c>
      <x:c r="D23" s="15" t="str">
        <x:v>Resmî araç PDF</x:v>
      </x:c>
      <x:c r="E23" s="15" t="str">
        <x:v>C:\Users\jagua\OneDrive\Masaüstü\Model Bağımsız Çalışmaları\15.10.2026\001-Kayıt Notları ve Dokümantasyon\003-Referans Kaynaklar\002-PDF'ler\001-Power-Embedded-Interface-Portfolio\PDF-11_ngspice_Manual.pdf</x:v>
      </x:c>
      <x:c r="F23" s="15" t="str">
        <x:v>PRESENT</x:v>
      </x:c>
      <x:c r="G23" s="15" t="n">
        <x:v>2719607</x:v>
      </x:c>
      <x:c r="H23" s="15" t="str">
        <x:v>15A08F05E9551555989B3D7CE2D8A83BB826D62EE34168803D056009C57A3619</x:v>
      </x:c>
      <x:c r="I23" s="15" t="str"/>
      <x:c r="J23" s="15" t="str">
        <x:v>SECONDARY_SOURCE</x:v>
      </x:c>
      <x:c r="K23" s="15" t="str">
        <x:v>Kılavuz CC BY-SA 4.0</x:v>
      </x:c>
      <x:c r="L23" s="15" t="str">
        <x:v>PASS</x:v>
      </x:c>
      <x:c r="M23" s="15" t="str">
        <x:v>Model/provenanslı simülasyon bu oturumda NOT_RUN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56" hidden="0" customHeight="1">
      <x:c r="A24" s="2"/>
      <x:c r="B24" s="15" t="str">
        <x:v>WEB-01</x:v>
      </x:c>
      <x:c r="C24" s="15" t="str">
        <x:v>ESP-IDF stable v6.1 UART</x:v>
      </x:c>
      <x:c r="D24" s="15" t="str">
        <x:v>Resmî çevrimiçi doküman</x:v>
      </x:c>
      <x:c r="E24" s="15" t="str">
        <x:v>https://docs.espressif.com/projects/esp-idf/en/stable/esp32s3/api-reference/peripherals/uart.html</x:v>
      </x:c>
      <x:c r="F24" s="15" t="str">
        <x:v>REMOTE</x:v>
      </x:c>
      <x:c r="G24" s="15" t="str">
        <x:v>N/A</x:v>
      </x:c>
      <x:c r="H24" s="15" t="str">
        <x:v>N/A</x:v>
      </x:c>
      <x:c r="I24" s="15" t="str"/>
      <x:c r="J24" s="15" t="str">
        <x:v>SOURCE_EXPLICIT</x:v>
      </x:c>
      <x:c r="K24" s="15" t="str">
        <x:v>Espressif; 18.10.2026 erişimi</x:v>
      </x:c>
      <x:c r="L24" s="15" t="str">
        <x:v>PASS</x:v>
      </x:c>
      <x:c r="M24" s="15" t="str">
        <x:v>3 UART denetleyicisini doğrular; 10 bağımsız TX PASS'i değildir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56" hidden="0" customHeight="1">
      <x:c r="A25" s="2"/>
      <x:c r="B25" s="15" t="str">
        <x:v>WEB-02</x:v>
      </x:c>
      <x:c r="C25" s="15" t="str">
        <x:v>ESP32-S3 schematic checklist</x:v>
      </x:c>
      <x:c r="D25" s="15" t="str">
        <x:v>Resmî çevrimiçi doküman</x:v>
      </x:c>
      <x:c r="E25" s="15" t="str">
        <x:v>https://docs.espressif.com/projects/esp-hardware-design-guidelines/en/latest/esp32s3/schematic-checklist.html</x:v>
      </x:c>
      <x:c r="F25" s="15" t="str">
        <x:v>REMOTE</x:v>
      </x:c>
      <x:c r="G25" s="15" t="str">
        <x:v>N/A</x:v>
      </x:c>
      <x:c r="H25" s="15" t="str">
        <x:v>N/A</x:v>
      </x:c>
      <x:c r="I25" s="15" t="str"/>
      <x:c r="J25" s="15" t="str">
        <x:v>SOURCE_EXPLICIT</x:v>
      </x:c>
      <x:c r="K25" s="15" t="str">
        <x:v>Espressif; 18.10.2026 erişimi</x:v>
      </x:c>
      <x:c r="L25" s="15" t="str">
        <x:v>PASS</x:v>
      </x:c>
      <x:c r="M25" s="15" t="str">
        <x:v>UART0 GPIO43/44 rezervasyonunu destekler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56" hidden="0" customHeight="1">
      <x:c r="A26" s="2"/>
      <x:c r="B26" s="15" t="str">
        <x:v>WEB-03</x:v>
      </x:c>
      <x:c r="C26" s="15" t="str">
        <x:v>ESP-IDF RMT FAQ</x:v>
      </x:c>
      <x:c r="D26" s="15" t="str">
        <x:v>Resmî çevrimiçi doküman</x:v>
      </x:c>
      <x:c r="E26" s="15" t="str">
        <x:v>https://docs.espressif.com/projects/esp-faq/en/latest/software-framework/peripherals/rmt.html</x:v>
      </x:c>
      <x:c r="F26" s="15" t="str">
        <x:v>REMOTE</x:v>
      </x:c>
      <x:c r="G26" s="15" t="str">
        <x:v>N/A</x:v>
      </x:c>
      <x:c r="H26" s="15" t="str">
        <x:v>N/A</x:v>
      </x:c>
      <x:c r="I26" s="15" t="str"/>
      <x:c r="J26" s="15" t="str">
        <x:v>SOURCE_EXPLICIT</x:v>
      </x:c>
      <x:c r="K26" s="15" t="str">
        <x:v>Espressif; 18.10.2026 erişimi</x:v>
      </x:c>
      <x:c r="L26" s="15" t="str">
        <x:v>PASS</x:v>
      </x:c>
      <x:c r="M26" s="15" t="str">
        <x:v>4 RMT RX/TX kanalı sınıfını gösterir; UART uyumluluğu/kapasitesi kanıtı değildir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56" hidden="0" customHeight="1">
      <x:c r="A27" s="2"/>
      <x:c r="B27" s="15" t="str">
        <x:v>WEB-04</x:v>
      </x:c>
      <x:c r="C27" s="15" t="str">
        <x:v>ESP-IDF issue #10128</x:v>
      </x:c>
      <x:c r="D27" s="15" t="str">
        <x:v>GitHub karar örneği</x:v>
      </x:c>
      <x:c r="E27" s="15" t="str">
        <x:v>https://github.com/espressif/esp-idf/issues/10128</x:v>
      </x:c>
      <x:c r="F27" s="15" t="str">
        <x:v>REMOTE</x:v>
      </x:c>
      <x:c r="G27" s="15" t="str">
        <x:v>N/A</x:v>
      </x:c>
      <x:c r="H27" s="15" t="str">
        <x:v>N/A</x:v>
      </x:c>
      <x:c r="I27" s="15" t="str"/>
      <x:c r="J27" s="15" t="str">
        <x:v>SECONDARY_SOURCE</x:v>
      </x:c>
      <x:c r="K27" s="15" t="str">
        <x:v>Açık/in-progress özellik talebi; 18.10.2026</x:v>
      </x:c>
      <x:c r="L27" s="15" t="str">
        <x:v>PASS</x:v>
      </x:c>
      <x:c r="M27" s="15" t="str">
        <x:v>5 UART ihtiyacı ve RMT/yazılım seri talebini gösterir; yayımlanmış çözüm değildir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56" hidden="0" customHeight="1">
      <x:c r="A28" s="2"/>
      <x:c r="B28" s="15" t="str">
        <x:v>WEB-05</x:v>
      </x:c>
      <x:c r="C28" s="15" t="str">
        <x:v>NXP SC16IS752/762</x:v>
      </x:c>
      <x:c r="D28" s="15" t="str">
        <x:v>Resmî ürün sayfası</x:v>
      </x:c>
      <x:c r="E28" s="15" t="str">
        <x:v>https://www.nxp.com/products/interfaces/ic-spi-i3c-interface-devices/bridges/dual-uart-with-ic-bus-spi-interface-64-bs-of-transmit-and-receive-fifos-irda-sir-built-in-support:SC16IS752_SC16IS762</x:v>
      </x:c>
      <x:c r="F28" s="15" t="str">
        <x:v>REMOTE</x:v>
      </x:c>
      <x:c r="G28" s="15" t="str">
        <x:v>N/A</x:v>
      </x:c>
      <x:c r="H28" s="15" t="str">
        <x:v>N/A</x:v>
      </x:c>
      <x:c r="I28" s="15" t="str"/>
      <x:c r="J28" s="15" t="str">
        <x:v>SOURCE_EXPLICIT</x:v>
      </x:c>
      <x:c r="K28" s="15" t="str">
        <x:v>Aktif çift UART köprü sınıfı</x:v>
      </x:c>
      <x:c r="L28" s="15" t="str">
        <x:v>PASS</x:v>
      </x:c>
      <x:c r="M28" s="15" t="str">
        <x:v>Sınıf fizibilitesi; exact-part kararı değildir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56" hidden="0" customHeight="1">
      <x:c r="A29" s="2"/>
      <x:c r="B29" s="15" t="str">
        <x:v>WEB-06</x:v>
      </x:c>
      <x:c r="C29" s="15" t="str">
        <x:v>MaxLinear XR16L784</x:v>
      </x:c>
      <x:c r="D29" s="15" t="str">
        <x:v>Resmî ürün sayfası</x:v>
      </x:c>
      <x:c r="E29" s="15" t="str">
        <x:v>https://www.maxlinear.com/product/interface/uarts/8-bit-vlio-uarts/xr16l784</x:v>
      </x:c>
      <x:c r="F29" s="15" t="str">
        <x:v>REMOTE</x:v>
      </x:c>
      <x:c r="G29" s="15" t="str">
        <x:v>N/A</x:v>
      </x:c>
      <x:c r="H29" s="15" t="str">
        <x:v>N/A</x:v>
      </x:c>
      <x:c r="I29" s="15" t="str"/>
      <x:c r="J29" s="15" t="str">
        <x:v>SOURCE_EXPLICIT</x:v>
      </x:c>
      <x:c r="K29" s="15" t="str">
        <x:v>Dörtlü UART sınıfı</x:v>
      </x:c>
      <x:c r="L29" s="15" t="str">
        <x:v>PASS</x:v>
      </x:c>
      <x:c r="M29" s="15" t="str">
        <x:v>Sınıf fizibilitesi; exact-part kararı değildir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M2"/>
    <x:mergeCell ref="B3:M3"/>
  </x:mergeCells>
  <x:conditionalFormatting sqref="L6:L29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dataValidations count="3">
    <x:dataValidation type="list" sqref="F6:F7">
      <x:formula1>"MISSING,PRESENT"</x:formula1>
    </x:dataValidation>
    <x:dataValidation type="whole" operator="greaterThanOrEqual" sqref="G6:G7">
      <x:formula1>1</x:formula1>
    </x:dataValidation>
    <x:dataValidation type="list" sqref="L6:L7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08df73604d49e7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1" hidden="0" customWidth="1"/>
    <x:col min="3" max="3" width="30" hidden="0" customWidth="1"/>
    <x:col min="4" max="4" width="48" hidden="0" customWidth="1"/>
    <x:col min="5" max="5" width="22" hidden="0" customWidth="1"/>
    <x:col min="6" max="6" width="22" hidden="0" customWidth="1"/>
    <x:col min="7" max="7" width="45" hidden="0" customWidth="1"/>
    <x:col min="8" max="8" width="22" hidden="0" customWidth="1"/>
    <x:col min="9" max="9" width="15" hidden="0" customWidth="1"/>
    <x:col min="10" max="10" width="34" hidden="0" customWidth="1"/>
    <x:col min="11" max="11" width="28" hidden="0" customWidth="1"/>
    <x:col min="12" max="12" width="17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Tekrar ve Çelişki Denetimi · v1.3.2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Her satır PASS, kanıt referansı ve doğrulama tarihi taşımadan X5 kapanmaz. Çelişkiler bilgi silinerek değil, kaynak önceliği ve gerekçeyle çözülür.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Kayıt</x:v>
      </x:c>
      <x:c r="C5" s="24" t="str">
        <x:v>Denetim konusu</x:v>
      </x:c>
      <x:c r="D5" s="24" t="str">
        <x:v>Bulgular</x:v>
      </x:c>
      <x:c r="E5" s="24" t="str">
        <x:v>Kanıt sınıfı</x:v>
      </x:c>
      <x:c r="F5" s="24" t="str">
        <x:v>Mevcut yerel gerçek</x:v>
      </x:c>
      <x:c r="G5" s="24" t="str">
        <x:v>Kapanış ölçütü</x:v>
      </x:c>
      <x:c r="H5" s="24" t="str">
        <x:v>Sahip</x:v>
      </x:c>
      <x:c r="I5" s="24" t="str">
        <x:v>Durum</x:v>
      </x:c>
      <x:c r="J5" s="24" t="str">
        <x:v>Not</x:v>
      </x:c>
      <x:c r="K5" s="63" t="str">
        <x:v>Kanıt referansı</x:v>
      </x:c>
      <x:c r="L5" s="63" t="str">
        <x:v>Doğrulama tarihi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DC-01</x:v>
      </x:c>
      <x:c r="C6" s="15" t="str">
        <x:v>PKG-A kaynak bütünlüğü</x:v>
      </x:c>
      <x:c r="D6" s="15" t="str">
        <x:v>Kayıtlı 63 dosya / 27.854.101 bayt / tree hash; yerel dosya yok</x:v>
      </x:c>
      <x:c r="E6" s="15" t="str">
        <x:v>CONFLICT; UNKNOWN</x:v>
      </x:c>
      <x:c r="F6" s="15" t="str">
        <x:v>MISSING</x:v>
      </x:c>
      <x:c r="G6" s="15" t="str">
        <x:v>Özgün yerel kopya ile sayı, bayt ve tree hash yeniden üretilir</x:v>
      </x:c>
      <x:c r="H6" s="15" t="str">
        <x:v>Evidence Owner</x:v>
      </x:c>
      <x:c r="I6" s="46" t="str">
        <x:v>BLOCKED</x:v>
      </x:c>
      <x:c r="J6" s="15" t="str">
        <x:v>URL/PDF vekilleri yeterli değil</x:v>
      </x:c>
      <x:c r="K6" s="66" t="str">
        <x:v>UNKNOWN</x:v>
      </x:c>
      <x:c r="L6" s="67" t="str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DC-02</x:v>
      </x:c>
      <x:c r="C7" s="15" t="str">
        <x:v>PKG-B kaynak bütünlüğü</x:v>
      </x:c>
      <x:c r="D7" s="15" t="str">
        <x:v>Kayıtlı 82 dosya / 128.611.424 bayt / tree hash; yerel dosya yok</x:v>
      </x:c>
      <x:c r="E7" s="15" t="str">
        <x:v>CONFLICT; UNKNOWN</x:v>
      </x:c>
      <x:c r="F7" s="15" t="str">
        <x:v>MISSING</x:v>
      </x:c>
      <x:c r="G7" s="15" t="str">
        <x:v>Özgün yerel kopya ile sayı, bayt ve tree hash yeniden üretilir</x:v>
      </x:c>
      <x:c r="H7" s="15" t="str">
        <x:v>Evidence Owner</x:v>
      </x:c>
      <x:c r="I7" s="46" t="str">
        <x:v>BLOCKED</x:v>
      </x:c>
      <x:c r="J7" s="15" t="str">
        <x:v>Dört kayıtlı PDF hash'i yerel PDF'lerle eşleşmedi</x:v>
      </x:c>
      <x:c r="K7" s="66" t="str">
        <x:v>UNKNOWN</x:v>
      </x:c>
      <x:c r="L7" s="67" t="str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DC-03</x:v>
      </x:c>
      <x:c r="C8" s="15" t="str">
        <x:v>Erişim durumu</x:v>
      </x:c>
      <x:c r="D8" s="15" t="str">
        <x:v>Yerel sicil BLOCKED_NOT_MOUNTED/MISSING; CLAUDE-10 ve output manifest uzak ACCESSIBLE iddiası</x:v>
      </x:c>
      <x:c r="E8" s="15" t="str">
        <x:v>CONFLICT</x:v>
      </x:c>
      <x:c r="F8" s="15" t="str">
        <x:v>Yerel audit: MISSING</x:v>
      </x:c>
      <x:c r="G8" s="15" t="str">
        <x:v>Aynı zaman damgası ve aynı kapsamla erişim kanıtı uzlaştırılır</x:v>
      </x:c>
      <x:c r="H8" s="15" t="str">
        <x:v>Gate Owner</x:v>
      </x:c>
      <x:c r="I8" s="46" t="str">
        <x:v>BLOCKED</x:v>
      </x:c>
      <x:c r="J8" s="15" t="str">
        <x:v>Yerel sonuç önceliklidir; uzak iddia doğrulanmadı</x:v>
      </x:c>
      <x:c r="K8" s="66" t="str">
        <x:v>UNKNOWN</x:v>
      </x:c>
      <x:c r="L8" s="67" t="str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DC-04</x:v>
      </x:c>
      <x:c r="C9" s="15" t="str">
        <x:v>URL kısayolu tekrarı</x:v>
      </x:c>
      <x:c r="D9" s="15" t="str">
        <x:v>CR-01 ve JOB-01 URL dosyaları 142 bayt ve aynı SHA-256</x:v>
      </x:c>
      <x:c r="E9" s="15" t="str">
        <x:v>DERIVED</x:v>
      </x:c>
      <x:c r="F9" s="15" t="str">
        <x:v>Byte-identical</x:v>
      </x:c>
      <x:c r="G9" s="15" t="str">
        <x:v>İki kayıt tek kaynak kimliğine bağlanır; hangi kaydın kanonik olduğu insan kararıyla yazılır</x:v>
      </x:c>
      <x:c r="H9" s="15" t="str">
        <x:v>Evidence Owner</x:v>
      </x:c>
      <x:c r="I9" s="46" t="str">
        <x:v>UNKNOWN</x:v>
      </x:c>
      <x:c r="J9" s="15" t="str">
        <x:v>Dosya silinmez</x:v>
      </x:c>
      <x:c r="K9" s="66" t="str">
        <x:v>UNKNOWN</x:v>
      </x:c>
      <x:c r="L9" s="67" t="str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DC-05</x:v>
      </x:c>
      <x:c r="C10" s="15" t="str">
        <x:v>PDF manifest güncelliği</x:v>
      </x:c>
      <x:c r="D10" s="15" t="str">
        <x:v>Eski manifest 'not downloaded'; yeni download log yerel indirmeyi ve hash'i doğruluyor</x:v>
      </x:c>
      <x:c r="E10" s="15" t="str">
        <x:v>CONFLICT</x:v>
      </x:c>
      <x:c r="F10" s="15" t="str">
        <x:v>Yerel tarama: ilgili resmî klasörde 8, tüm çalışma alanında 27 PDF; manifest/log zaman sırası uzlaştırılmadı</x:v>
      </x:c>
      <x:c r="G10" s="15" t="str">
        <x:v>Manifest ve log zaman sırası/revizyonu açıkça uzlaştırılır</x:v>
      </x:c>
      <x:c r="H10" s="15" t="str">
        <x:v>Evidence Owner</x:v>
      </x:c>
      <x:c r="I10" s="46" t="str">
        <x:v>BLOCKED</x:v>
      </x:c>
      <x:c r="J10" s="15" t="str">
        <x:v>Yeni kayıt eski kaydı sessizce geçersiz kılmaz</x:v>
      </x:c>
      <x:c r="K10" s="66" t="str">
        <x:v>UNKNOWN</x:v>
      </x:c>
      <x:c r="L10" s="67" t="str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DC-06</x:v>
      </x:c>
      <x:c r="C11" s="15" t="str">
        <x:v>Bağımsız doğrulama</x:v>
      </x:c>
      <x:c r="D11" s="15" t="str">
        <x:v>Hazırlayan ile doğrulayan ayrımı ve imza kaydı yok</x:v>
      </x:c>
      <x:c r="E11" s="15" t="str">
        <x:v>INTERNAL_RULE</x:v>
      </x:c>
      <x:c r="F11" s="15" t="str">
        <x:v>NOT_RUN</x:v>
      </x:c>
      <x:c r="G11" s="15" t="str">
        <x:v>Bağımsız kişi tüm DC satırlarını doğrular ve Ownership Signoff'ta PASS verir</x:v>
      </x:c>
      <x:c r="H11" s="15" t="str">
        <x:v>Independent Verifier</x:v>
      </x:c>
      <x:c r="I11" s="46" t="str">
        <x:v>NOT_RUN</x:v>
      </x:c>
      <x:c r="J11" s="15" t="str">
        <x:v>Codex onaylayan değildir</x:v>
      </x:c>
      <x:c r="K11" s="66" t="str">
        <x:v>UNKNOWN</x:v>
      </x:c>
      <x:c r="L11" s="67" t="str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</x:mergeCells>
  <x:conditionalFormatting sqref="I6:I11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dataValidations count="2">
    <x:dataValidation type="list" sqref="I6:I11">
      <x:formula1>"PASS,BLOCKED,UNKNOWN,NOT_RUN"</x:formula1>
    </x:dataValidation>
    <x:dataValidation type="date" operator="between" sqref="L6:L11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2056a6d40cc47db"/>
  </x:tableParts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7" hidden="0" customWidth="1"/>
    <x:col min="3" max="3" width="35" hidden="0" customWidth="1"/>
    <x:col min="4" max="4" width="38" hidden="0" customWidth="1"/>
    <x:col min="5" max="5" width="16" hidden="0" customWidth="1"/>
    <x:col min="6" max="6" width="43" hidden="0" customWidth="1"/>
    <x:col min="7" max="7" width="50" hidden="0" customWidth="1"/>
    <x:col min="8" max="8" width="34" hidden="0" customWidth="1"/>
    <x:col min="9" max="9" width="25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Mantıksal Akış Kararı · v1.3.2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Q-C07 için yalnız MIRRORED_5 veya INDEPENDENT_10 seçilebilir. MIRRORED_5 seçilirse Q-C07-MAP kanıtı zorunludur. Bu dar kapanış mimari kapasite, exact-part veya sonraki kapı PASS'i değildir.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Yetkili karar girişi</x:v>
      </x:c>
      <x:c r="C5" s="19"/>
      <x:c r="D5" s="19"/>
      <x:c r="E5" s="19"/>
      <x:c r="F5" s="19"/>
      <x:c r="G5" s="19"/>
      <x:c r="H5" s="19"/>
      <x:c r="I5" s="19"/>
      <x:c r="J5" s="1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4" hidden="0" customHeight="1">
      <x:c r="A6" s="2"/>
      <x:c r="B6" s="14" t="str">
        <x:v>Q-C07 · Seçilen mantıksal dal</x:v>
      </x:c>
      <x:c r="C6" s="46" t="str">
        <x:v>UNDECIDED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hidden="0" customHeight="1">
      <x:c r="A7" s="2"/>
      <x:c r="B7" s="14" t="str">
        <x:v>Q-C07 · Yetkili müşteri / gereksinim kanıtı</x:v>
      </x:c>
      <x:c r="C7" s="46" t="str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hidden="0" customHeight="1">
      <x:c r="A8" s="2"/>
      <x:c r="B8" s="14" t="str">
        <x:v>Karar sahibi (gerçek kişi)</x:v>
      </x:c>
      <x:c r="C8" s="46" t="str">
        <x:v>TBD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hidden="0" customHeight="1">
      <x:c r="A9" s="2"/>
      <x:c r="B9" s="14" t="str">
        <x:v>Gate Owner (Ownership Signoff ile bağlı)</x:v>
      </x:c>
      <x:c r="C9" s="46" t="str">
        <x:f>'Ownership Signoff'!$C$6</x:f>
        <x:v>TBD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Karar tarihi</x:v>
      </x:c>
      <x:c r="C10" s="46" t="str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İnsan onay durumu</x:v>
      </x:c>
      <x:c r="C11" s="46" t="str">
        <x:v>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71" t="str">
        <x:v>Q-C07-MAP · MIRRORED_5 eşleme kanıtı</x:v>
      </x:c>
      <x:c r="C12" s="72" t="str">
        <x:v>UNKNOWN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77" t="str">
        <x:v>CF-09 kapanış sonucu</x:v>
      </x:c>
      <x:c r="C13" s="77" t="str">
        <x:f>IF(AND(OR(C6="MIRRORED_5",C6="INDEPENDENT_10"),C7&lt;&gt;"",C7&lt;&gt;"UNKNOWN",C8&lt;&gt;"",C8&lt;&gt;"TBD",C9&lt;&gt;"",C9&lt;&gt;"TBD",C9='Ownership Signoff'!$C$6,C10&lt;&gt;"",C11="PASS",OR(C6="INDEPENDENT_10",AND(C6="MIRRORED_5",C12&lt;&gt;"",C12&lt;&gt;"UNKNOWN",C12&lt;&gt;"TBD"))),"PASS","BLOCKED")</x:f>
        <x:v>BLOCKED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Müşteriden gerekli asgari cevaplar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Soru</x:v>
      </x:c>
      <x:c r="C16" s="24" t="str">
        <x:v>Karar sorusu</x:v>
      </x:c>
      <x:c r="D16" s="24" t="str">
        <x:v>Mevcut cevap</x:v>
      </x:c>
      <x:c r="E16" s="24" t="str">
        <x:v>Neden gerekli</x:v>
      </x:c>
      <x:c r="F16" s="24" t="str">
        <x:v>Kapanış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2"/>
      <x:c r="B17" s="15" t="str">
        <x:v>Q-C07-MAP</x:v>
      </x:c>
      <x:c r="C17" s="15" t="str">
        <x:v>TTL_i ve RS232_i aynı payload/baud/framing akışını mı taşır?</x:v>
      </x:c>
      <x:c r="D17" s="46" t="str">
        <x:v>UNKNOWN</x:v>
      </x:c>
      <x:c r="E17" s="15" t="str">
        <x:v>MIRRORED_5 ile INDEPENDENT_10 ayrımı</x:v>
      </x:c>
      <x:c r="F17" s="15" t="str">
        <x:v>CF-09 BLOCKED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hidden="0" customHeight="1">
      <x:c r="A18" s="2"/>
      <x:c r="B18" s="15" t="str">
        <x:v>Q-C12</x:v>
      </x:c>
      <x:c r="C18" s="15" t="str">
        <x:v>Aynı anda en fazla kaç benzersiz TX akışı gereklidir?</x:v>
      </x:c>
      <x:c r="D18" s="46" t="str">
        <x:v>UNKNOWN</x:v>
      </x:c>
      <x:c r="E18" s="15" t="str">
        <x:v>UART/bridge/helper-MCU kapasitesi</x:v>
      </x:c>
      <x:c r="F18" s="15" t="str">
        <x:v>CF-09 BLOCKED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6" hidden="0" customHeight="1">
      <x:c r="A19" s="2"/>
      <x:c r="B19" s="15" t="str">
        <x:v>Q-C12</x:v>
      </x:c>
      <x:c r="C19" s="15" t="str">
        <x:v>Kanallar farklı baud veya framing kullanabilir mi?</x:v>
      </x:c>
      <x:c r="D19" s="46" t="str">
        <x:v>UNKNOWN</x:v>
      </x:c>
      <x:c r="E19" s="15" t="str">
        <x:v>Aynalama ve zamanlama uygulanabilirliği</x:v>
      </x:c>
      <x:c r="F19" s="15" t="str">
        <x:v>G2 BLOCKED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hidden="0" customHeight="1">
      <x:c r="A20" s="2"/>
      <x:c r="B20" s="15" t="str">
        <x:v>Q-C13</x:v>
      </x:c>
      <x:c r="C20" s="15" t="str">
        <x:v>Tek RX hangi kanala aittir; full-duplex eşleşmesi nedir?</x:v>
      </x:c>
      <x:c r="D20" s="46" t="str">
        <x:v>UNKNOWN</x:v>
      </x:c>
      <x:c r="E20" s="15" t="str">
        <x:v>RX sahipliği ve arayüz sözleşmesi</x:v>
      </x:c>
      <x:c r="F20" s="15" t="str">
        <x:v>G2 BLOCKED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hidden="0" customHeight="1">
      <x:c r="A21" s="2"/>
      <x:c r="B21" s="15" t="str">
        <x:v>Q-C07 · GPIO</x:v>
      </x:c>
      <x:c r="C21" s="15" t="str">
        <x:v>Dondurulmuş GPIO + işlev/net eşleme belgesi nedir?</x:v>
      </x:c>
      <x:c r="D21" s="46" t="str">
        <x:v>UNKNOWN</x:v>
      </x:c>
      <x:c r="E21" s="15" t="str">
        <x:v>Pin listesi tek başına veri ilişkisini kanıtlamaz</x:v>
      </x:c>
      <x:c r="F21" s="15" t="str">
        <x:v>G2 BLOCKED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81" t="str">
        <x:v>Q-C14 ve Q-C15 ayrıntıları CF09 Matrisi v1.1 / Girdi Formu'nda G2/G3/G5 devri olarak tutulur; G1 PASS'i tek başına engellemez.</x:v>
      </x:c>
      <x:c r="C22" s="81"/>
      <x:c r="D22" s="81"/>
      <x:c r="E22" s="81"/>
      <x:c r="F22" s="81"/>
      <x:c r="G22" s="81"/>
      <x:c r="H22" s="81"/>
      <x:c r="I22" s="81"/>
      <x:c r="J22" s="81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Karar senaryoları ve GitHub / resmî kaynak analizi</x:v>
      </x:c>
      <x:c r="C23" s="19"/>
      <x:c r="D23" s="19"/>
      <x:c r="E23" s="19"/>
      <x:c r="F23" s="19"/>
      <x:c r="G23" s="19"/>
      <x:c r="H23" s="19"/>
      <x:c r="I23" s="19"/>
      <x:c r="J23" s="19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Senaryo</x:v>
      </x:c>
      <x:c r="C25" s="24" t="str">
        <x:v>Mantıksal dal</x:v>
      </x:c>
      <x:c r="D25" s="24" t="str">
        <x:v>Topoloji</x:v>
      </x:c>
      <x:c r="E25" s="24" t="str">
        <x:v>Durum</x:v>
      </x:c>
      <x:c r="F25" s="24" t="str">
        <x:v>Gerekli önkoşul</x:v>
      </x:c>
      <x:c r="G25" s="24" t="str">
        <x:v>Teknik yorum</x:v>
      </x:c>
      <x:c r="H25" s="24" t="str">
        <x:v>İzin verilen iddia</x:v>
      </x:c>
      <x:c r="I25" s="24" t="str">
        <x:v>Kanıt sınıfı</x:v>
      </x:c>
      <x:c r="J25" s="24" t="str">
        <x:v>Kaynak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6" hidden="0" customHeight="1">
      <x:c r="A26" s="2"/>
      <x:c r="B26" s="15" t="str">
        <x:v>SCN-SER-001</x:v>
      </x:c>
      <x:c r="C26" s="15" t="str">
        <x:v>MIRRORED_5</x:v>
      </x:c>
      <x:c r="D26" s="15" t="str">
        <x:v>5 mantıksal TX; her akış TTL + RS-232 fiziksel çıktıya aynalanır</x:v>
      </x:c>
      <x:c r="E26" s="15" t="str">
        <x:v>BLOCKED</x:v>
      </x:c>
      <x:c r="F26" s="15" t="str">
        <x:v>Q1 evet; Q2=5; Q3 eşleşir; müşteri kanıtı</x:v>
      </x:c>
      <x:c r="G26" s="15" t="str">
        <x:v>Mantıksal karar kaynak sayısını azaltır; 5 güvenli fiziksel çift ve 1 RX yine tasarlanmalı</x:v>
      </x:c>
      <x:c r="H26" s="15" t="str">
        <x:v>Yalnız G1 dal seçimi; mimari PASS değil</x:v>
      </x:c>
      <x:c r="I26" s="15" t="str">
        <x:v>ASSUMPTION → müşteri kanıtı bekliyor</x:v>
      </x:c>
      <x:c r="J26" s="15" t="str">
        <x:v>CLAUDE-06; WF01-D1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6" hidden="0" customHeight="1">
      <x:c r="A27" s="2"/>
      <x:c r="B27" s="15" t="str">
        <x:v>SCN-SER-002</x:v>
      </x:c>
      <x:c r="C27" s="15" t="str">
        <x:v>MIRRORED_5</x:v>
      </x:c>
      <x:c r="D27" s="15" t="str">
        <x:v>Harici dual/quad UART köprüsü ile 5 akış</x:v>
      </x:c>
      <x:c r="E27" s="15" t="str">
        <x:v>BLOCKED</x:v>
      </x:c>
      <x:c r="F27" s="15" t="str">
        <x:v>CF-09 kararı + verified bridge kapasitesi + exact part</x:v>
      </x:c>
      <x:c r="G27" s="15" t="str">
        <x:v>NXP/MaxLinear sayfaları sınıf fizibilitesini gösterir; kanal, protokol, gecikme ve güç doğrulanmalı</x:v>
      </x:c>
      <x:c r="H27" s="15" t="str">
        <x:v>Araştırma adayı</x:v>
      </x:c>
      <x:c r="I27" s="15" t="str">
        <x:v>SECONDARY_SOURCE</x:v>
      </x:c>
      <x:c r="J27" s="15" t="str">
        <x:v>WEB-05; WEB-06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6" hidden="0" customHeight="1">
      <x:c r="A28" s="2"/>
      <x:c r="B28" s="15" t="str">
        <x:v>SCN-SER-003</x:v>
      </x:c>
      <x:c r="C28" s="15" t="str">
        <x:v>INDEPENDENT_10</x:v>
      </x:c>
      <x:c r="D28" s="15" t="str">
        <x:v>ESP32-S3 doğrudan 10 benzersiz TX</x:v>
      </x:c>
      <x:c r="E28" s="15" t="str">
        <x:v>BLOCKED</x:v>
      </x:c>
      <x:c r="F28" s="15" t="str">
        <x:v>10 eşzamanlı bağımsız akış için doğrulanmış çevre birimi/zamanlama</x:v>
      </x:c>
      <x:c r="G28" s="15" t="str">
        <x:v>ESP-IDF üç UART denetleyicisi bildirir; doğrudan 10 bağımsız UART PASS'i yok</x:v>
      </x:c>
      <x:c r="H28" s="15" t="str">
        <x:v>Kullanılamaz varsayım; PASS üretmez</x:v>
      </x:c>
      <x:c r="I28" s="15" t="str">
        <x:v>SOURCE_EXPLICIT + DERIVED</x:v>
      </x:c>
      <x:c r="J28" s="15" t="str">
        <x:v>WEB-01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6" hidden="0" customHeight="1">
      <x:c r="A29" s="2"/>
      <x:c r="B29" s="15" t="str">
        <x:v>SCN-SER-004</x:v>
      </x:c>
      <x:c r="C29" s="15" t="str">
        <x:v>INDEPENDENT_10</x:v>
      </x:c>
      <x:c r="D29" s="15" t="str">
        <x:v>Harici serializer/bridge veya helper MCU</x:v>
      </x:c>
      <x:c r="E29" s="15" t="str">
        <x:v>BLOCKED</x:v>
      </x:c>
      <x:c r="F29" s="15" t="str">
        <x:v>Exact part/firmware, throughput, framing, failure mode, boot-safe ve güç kanıtı</x:v>
      </x:c>
      <x:c r="G29" s="15" t="str">
        <x:v>Mimari olarak araştırılabilir; seçili çözüm ve kapasite kanıtı yok</x:v>
      </x:c>
      <x:c r="H29" s="15" t="str">
        <x:v>Araştırma adayı</x:v>
      </x:c>
      <x:c r="I29" s="15" t="str">
        <x:v>ENGINEERING_RULE</x:v>
      </x:c>
      <x:c r="J29" s="15" t="str">
        <x:v>WEB-05; WEB-06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6" hidden="0" customHeight="1">
      <x:c r="A30" s="2"/>
      <x:c r="B30" s="15" t="str">
        <x:v>SCN-SER-005</x:v>
      </x:c>
      <x:c r="C30" s="15" t="str">
        <x:v>INDEPENDENT_10</x:v>
      </x:c>
      <x:c r="D30" s="15" t="str">
        <x:v>RMT / software UART hibriti</x:v>
      </x:c>
      <x:c r="E30" s="15" t="str">
        <x:v>NOT_RUN</x:v>
      </x:c>
      <x:c r="F30" s="15" t="str">
        <x:v>Bit timing, DMA/interrupt yükü, eşzamanlılık ve hata toleransı testi</x:v>
      </x:c>
      <x:c r="G30" s="15" t="str">
        <x:v>RMT genel dalga üretimi ve dört kanal sınıfı sağlar; GitHub #10128 yayımlanmış destek kanıtı değildir</x:v>
      </x:c>
      <x:c r="H30" s="15" t="str">
        <x:v>Yalnız deneysel araştırma</x:v>
      </x:c>
      <x:c r="I30" s="15" t="str">
        <x:v>SECONDARY_SOURCE</x:v>
      </x:c>
      <x:c r="J30" s="15" t="str">
        <x:v>WEB-03; WEB-04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66" hidden="0" customHeight="1">
      <x:c r="A31" s="2"/>
      <x:c r="B31" s="15" t="str">
        <x:v>SCN-SER-006</x:v>
      </x:c>
      <x:c r="C31" s="15" t="str">
        <x:v>MIRRORED_5 veya INDEPENDENT_10</x:v>
      </x:c>
      <x:c r="D31" s="15" t="str">
        <x:v>Zaman çoklama</x:v>
      </x:c>
      <x:c r="E31" s="15" t="str">
        <x:v>UNKNOWN</x:v>
      </x:c>
      <x:c r="F31" s="15" t="str">
        <x:v>Gecikme, eşzamanlılık ve karşı uç toleransı müşteri tarafından kabul edilmeli</x:v>
      </x:c>
      <x:c r="G31" s="15" t="str">
        <x:v>Kaynakta zaman çoklama izni yok</x:v>
      </x:c>
      <x:c r="H31" s="15" t="str">
        <x:v>Müşteri kararı olmadan önerilemez</x:v>
      </x:c>
      <x:c r="I31" s="15" t="str">
        <x:v>ASSUMPTION</x:v>
      </x:c>
      <x:c r="J31" s="15" t="str">
        <x:v>Q2; Q3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5:J5"/>
    <x:mergeCell ref="B14:J14"/>
    <x:mergeCell ref="B23:J23"/>
    <x:mergeCell ref="B22:J22"/>
  </x:mergeCells>
  <x:conditionalFormatting sqref="C11:C1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conditionalFormatting sqref="D17:D21">
    <x:cfRule type="containsText" dxfId="28" priority="5" operator="containsText" text="PASS"/>
    <x:cfRule type="containsText" dxfId="29" priority="6" operator="containsText" text="BLOCKED"/>
    <x:cfRule type="containsText" dxfId="30" priority="7" operator="containsText" text="UNKNOWN"/>
    <x:cfRule type="containsText" dxfId="31" priority="8" operator="containsText" text="NOT_RUN"/>
  </x:conditionalFormatting>
  <x:conditionalFormatting sqref="E26:E31">
    <x:cfRule type="containsText" dxfId="32" priority="9" operator="containsText" text="PASS"/>
    <x:cfRule type="containsText" dxfId="33" priority="10" operator="containsText" text="BLOCKED"/>
    <x:cfRule type="containsText" dxfId="34" priority="11" operator="containsText" text="UNKNOWN"/>
    <x:cfRule type="containsText" dxfId="35" priority="12" operator="containsText" text="NOT_RUN"/>
  </x:conditionalFormatting>
  <x:dataValidations count="2">
    <x:dataValidation type="list" sqref="C6">
      <x:formula1>"UNDECIDED,MIRRORED_5,INDEPENDENT_10"</x:formula1>
    </x:dataValidation>
    <x:dataValidation type="list" sqref="C11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3ef30a88d7473d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6" hidden="0" customWidth="1"/>
    <x:col min="3" max="3" width="23" hidden="0" customWidth="1"/>
    <x:col min="4" max="4" width="39" hidden="0" customWidth="1"/>
    <x:col min="5" max="5" width="35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Sahiplik ve İmza Kaydı · v1.3.2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Gerçek kişi adı, yetki dayanağı, imza tarihi ve PASS olmadan rol kapanmaz. CF09 Decision Gate Owner alanı bu sayfadaki GATE_OWNER kimliğine bağlıdır; Codex yalnız hazırlayandır.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Rol</x:v>
      </x:c>
      <x:c r="C5" s="24" t="str">
        <x:v>Gerçek kişi</x:v>
      </x:c>
      <x:c r="D5" s="24" t="str">
        <x:v>Yetki / atama kanıtı</x:v>
      </x:c>
      <x:c r="E5" s="24" t="str">
        <x:v>Bağımsızlık beyanı</x:v>
      </x:c>
      <x:c r="F5" s="24" t="str">
        <x:v>İmza tarihi</x:v>
      </x:c>
      <x:c r="G5" s="24" t="str">
        <x:v>İmza durumu</x:v>
      </x:c>
      <x:c r="H5" s="24" t="str">
        <x:v>Not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hidden="0" customHeight="1">
      <x:c r="A6" s="2"/>
      <x:c r="B6" s="15" t="str">
        <x:v>GATE_OWNER</x:v>
      </x:c>
      <x:c r="C6" s="46" t="str">
        <x:v>TBD</x:v>
      </x:c>
      <x:c r="D6" s="46" t="str"/>
      <x:c r="E6" s="46" t="str">
        <x:v>N/A</x:v>
      </x:c>
      <x:c r="F6" s="50" t="str"/>
      <x:c r="G6" s="46" t="str">
        <x:v>NOT_RUN</x:v>
      </x:c>
      <x:c r="H6" s="15" t="str">
        <x:v>G1 sonucu için yetkili insan sahibi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hidden="0" customHeight="1">
      <x:c r="A7" s="2"/>
      <x:c r="B7" s="15" t="str">
        <x:v>EVIDENCE_OWNER</x:v>
      </x:c>
      <x:c r="C7" s="46" t="str">
        <x:v>TBD</x:v>
      </x:c>
      <x:c r="D7" s="46" t="str"/>
      <x:c r="E7" s="46" t="str">
        <x:v>N/A</x:v>
      </x:c>
      <x:c r="F7" s="50" t="str"/>
      <x:c r="G7" s="46" t="str">
        <x:v>NOT_RUN</x:v>
      </x:c>
      <x:c r="H7" s="15" t="str">
        <x:v>Kaynak kimliği ve provenans sorumlusu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hidden="0" customHeight="1">
      <x:c r="A8" s="2"/>
      <x:c r="B8" s="15" t="str">
        <x:v>INDEPENDENT_VERIFIER</x:v>
      </x:c>
      <x:c r="C8" s="46" t="str">
        <x:v>TBD</x:v>
      </x:c>
      <x:c r="D8" s="46" t="str"/>
      <x:c r="E8" s="46" t="str"/>
      <x:c r="F8" s="50" t="str"/>
      <x:c r="G8" s="46" t="str">
        <x:v>NOT_RUN</x:v>
      </x:c>
      <x:c r="H8" s="15" t="str">
        <x:v>Hazırlayandan ve mümkünse Evidence Owner'dan farklı kişi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hidden="0" customHeight="1">
      <x:c r="A9" s="2"/>
      <x:c r="B9" s="49" t="str">
        <x:v>PREPARER</x:v>
      </x:c>
      <x:c r="C9" s="49" t="str">
        <x:v>Codex (artifact preparer)</x:v>
      </x:c>
      <x:c r="D9" s="49" t="str">
        <x:v>Yerel WF01 audit oturumu · 18.10.2026</x:v>
      </x:c>
      <x:c r="E9" s="49" t="str">
        <x:v>N/A</x:v>
      </x:c>
      <x:c r="F9" s="49" t="str">
        <x:v>18.10.2026</x:v>
      </x:c>
      <x:c r="G9" s="49" t="str">
        <x:v>NOT_RUN</x:v>
      </x:c>
      <x:c r="H9" s="49" t="str">
        <x:v>Onaylayan veya Gate Owner değildir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9" t="str">
        <x:v>İmza kuralları</x:v>
      </x:c>
      <x:c r="C10" s="19"/>
      <x:c r="D10" s="19"/>
      <x:c r="E10" s="19"/>
      <x:c r="F10" s="19"/>
      <x:c r="G10" s="19"/>
      <x:c r="H10" s="1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4" t="str">
        <x:v>Kural</x:v>
      </x:c>
      <x:c r="C11" s="24" t="str">
        <x:v>Açıklama</x:v>
      </x:c>
      <x:c r="D11" s="24" t="str">
        <x:v>Kanıt sınıfı</x:v>
      </x:c>
      <x:c r="E11" s="24" t="str">
        <x:v>Varsayılan durum</x:v>
      </x:c>
      <x:c r="F11" s="24" t="str">
        <x:v>Uygulama</x:v>
      </x:c>
      <x:c r="G11" s="24" t="str"/>
      <x:c r="H11" s="24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5" t="str">
        <x:v>R-OWN-01</x:v>
      </x:c>
      <x:c r="C12" s="15" t="str">
        <x:v>TBD veya boş kişi adı atanmış sayılmaz.</x:v>
      </x:c>
      <x:c r="D12" s="15" t="str">
        <x:v>INTERNAL_RULE</x:v>
      </x:c>
      <x:c r="E12" s="15" t="str">
        <x:v>BLOCKED</x:v>
      </x:c>
      <x:c r="F12" s="15" t="str">
        <x:v>Gerçek kişi adı gerekir</x:v>
      </x:c>
      <x:c r="G12" s="15" t="str"/>
      <x:c r="H12" s="15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hidden="0" customHeight="1">
      <x:c r="A13" s="2"/>
      <x:c r="B13" s="15" t="str">
        <x:v>R-OWN-02</x:v>
      </x:c>
      <x:c r="C13" s="15" t="str">
        <x:v>Yetki/atama kanıtı boş bırakılamaz.</x:v>
      </x:c>
      <x:c r="D13" s="15" t="str">
        <x:v>INTERNAL_RULE</x:v>
      </x:c>
      <x:c r="E13" s="15" t="str">
        <x:v>BLOCKED</x:v>
      </x:c>
      <x:c r="F13" s="15" t="str">
        <x:v>Belge, e-posta, karar no veya toplantı kaydı</x:v>
      </x:c>
      <x:c r="G13" s="15" t="str"/>
      <x:c r="H13" s="15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hidden="0" customHeight="1">
      <x:c r="A14" s="2"/>
      <x:c r="B14" s="15" t="str">
        <x:v>R-OWN-03</x:v>
      </x:c>
      <x:c r="C14" s="15" t="str">
        <x:v>Bağımsız doğrulayan için bağımsızlık beyanı zorunludur.</x:v>
      </x:c>
      <x:c r="D14" s="15" t="str">
        <x:v>INTERNAL_RULE</x:v>
      </x:c>
      <x:c r="E14" s="15" t="str">
        <x:v>BLOCKED</x:v>
      </x:c>
      <x:c r="F14" s="15" t="str">
        <x:v>Hazırlayanla aynı kişi olmadığını yaz</x:v>
      </x:c>
      <x:c r="G14" s="15" t="str"/>
      <x:c r="H14" s="15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hidden="0" customHeight="1">
      <x:c r="A15" s="2"/>
      <x:c r="B15" s="15" t="str">
        <x:v>R-OWN-04</x:v>
      </x:c>
      <x:c r="C15" s="15" t="str">
        <x:v>PASS yalnız gerçek insan imzası ve tarih ile verilebilir.</x:v>
      </x:c>
      <x:c r="D15" s="15" t="str">
        <x:v>INTERNAL_RULE</x:v>
      </x:c>
      <x:c r="E15" s="15" t="str">
        <x:v>BLOCKED</x:v>
      </x:c>
      <x:c r="F15" s="15" t="str">
        <x:v>Codex onaylayan değildir</x:v>
      </x:c>
      <x:c r="G15" s="15" t="str"/>
      <x:c r="H15" s="15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hidden="0" customHeight="1">
      <x:c r="A16" s="2"/>
      <x:c r="B16" s="15" t="str">
        <x:v>R-OWN-05</x:v>
      </x:c>
      <x:c r="C16" s="15" t="str">
        <x:v>İmza durumu PASS olmadan ilgili atomik kontrol PASS olamaz.</x:v>
      </x:c>
      <x:c r="D16" s="15" t="str">
        <x:v>INTERNAL_RULE</x:v>
      </x:c>
      <x:c r="E16" s="15" t="str">
        <x:v>BLOCKED</x:v>
      </x:c>
      <x:c r="F16" s="15" t="str">
        <x:v>Closure Checks formülleri uygular</x:v>
      </x:c>
      <x:c r="G16" s="15" t="str"/>
      <x:c r="H16" s="15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H2"/>
    <x:mergeCell ref="B3:H3"/>
    <x:mergeCell ref="B10:H10"/>
  </x:mergeCells>
  <x:conditionalFormatting sqref="G6:G8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12:E16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dataValidations count="2">
    <x:dataValidation type="list" sqref="G6:G8">
      <x:formula1>"PASS,BLOCKED,UNKNOWN,NOT_RUN"</x:formula1>
    </x:dataValidation>
    <x:dataValidation type="date" operator="between" sqref="F6:F8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6320645cffe4bfa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9" hidden="0" customWidth="1"/>
    <x:col min="3" max="3" width="35" hidden="0" customWidth="1"/>
    <x:col min="4" max="4" width="48" hidden="0" customWidth="1"/>
    <x:col min="5" max="5" width="42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Durumlar ve Kanıt Sınıfları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çalışma kitabı kaynak paketlerin kendisi değildir; G1 kapanışını yeniden üretilebilir, insan onaylı bir kayıt haline getirmek için kullanılır.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akışı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24" t="str">
        <x:v>Adım</x:v>
      </x:c>
      <x:c r="C7" s="24" t="str">
        <x:v>Kim</x:v>
      </x:c>
      <x:c r="D7" s="24" t="str">
        <x:v>İşlem</x:v>
      </x:c>
      <x:c r="E7" s="24" t="str">
        <x:v>Çıktı</x:v>
      </x:c>
      <x:c r="F7" s="24" t="str">
        <x:v>Durum kuralı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6" hidden="0" customHeight="1">
      <x:c r="A8" s="2"/>
      <x:c r="B8" s="15" t="n">
        <x:v>1</x:v>
      </x:c>
      <x:c r="C8" s="15" t="str">
        <x:v>Kullanıcı / Evidence Owner</x:v>
      </x:c>
      <x:c r="D8" s="15" t="str">
        <x:v>PKG-A ve PKG-B özgün dosyalarının yerel salt okunur kopyasını sağlar</x:v>
      </x:c>
      <x:c r="E8" s="15" t="str">
        <x:v>Yerel byte/hash envanteri</x:v>
      </x:c>
      <x:c r="F8" s="15" t="str">
        <x:v>Eksikse BLOCKED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6" hidden="0" customHeight="1">
      <x:c r="A9" s="2"/>
      <x:c r="B9" s="15" t="n">
        <x:v>2</x:v>
      </x:c>
      <x:c r="C9" s="15" t="str">
        <x:v>Codex / hazırlayan</x:v>
      </x:c>
      <x:c r="D9" s="15" t="str">
        <x:v>Kaynak, lisans, provenans, tekrar ve çelişki denetimini yeniden çalıştırır</x:v>
      </x:c>
      <x:c r="E9" s="15" t="str">
        <x:v>Source Evidence + Duplicate Conflict</x:v>
      </x:c>
      <x:c r="F9" s="15" t="str">
        <x:v>Kanıt yoksa UNKNOWN/BLOCKED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6" hidden="0" customHeight="1">
      <x:c r="A10" s="2"/>
      <x:c r="B10" s="15" t="n">
        <x:v>3</x:v>
      </x:c>
      <x:c r="C10" s="15" t="str">
        <x:v>Customer / Requirements Owner</x:v>
      </x:c>
      <x:c r="D10" s="15" t="str">
        <x:v>CF-09 için MIRRORED_5 veya INDEPENDENT_10 seçimini yazılı kanıtla verir</x:v>
      </x:c>
      <x:c r="E10" s="15" t="str">
        <x:v>CF09 Decision</x:v>
      </x:c>
      <x:c r="F10" s="15" t="str">
        <x:v>Karar yoksa BLOCKED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6" hidden="0" customHeight="1">
      <x:c r="A11" s="2"/>
      <x:c r="B11" s="15" t="n">
        <x:v>4</x:v>
      </x:c>
      <x:c r="C11" s="15" t="str">
        <x:v>Gate Owner / Evidence Owner</x:v>
      </x:c>
      <x:c r="D11" s="15" t="str">
        <x:v>Gerçek kişi, yetki kanıtı, tarih ve imza durumunu doldurur</x:v>
      </x:c>
      <x:c r="E11" s="15" t="str">
        <x:v>Ownership Signoff</x:v>
      </x:c>
      <x:c r="F11" s="15" t="str">
        <x:v>TBD imza değildir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6" hidden="0" customHeight="1">
      <x:c r="A12" s="2"/>
      <x:c r="B12" s="15" t="n">
        <x:v>5</x:v>
      </x:c>
      <x:c r="C12" s="15" t="str">
        <x:v>Independent Verifier</x:v>
      </x:c>
      <x:c r="D12" s="15" t="str">
        <x:v>Paket ve çelişki sonuçlarını hazırlayandan bağımsız doğrular</x:v>
      </x:c>
      <x:c r="E12" s="15" t="str">
        <x:v>X1C ve X5</x:v>
      </x:c>
      <x:c r="F12" s="15" t="str">
        <x:v>İmza yoksa BLOCKED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6" hidden="0" customHeight="1">
      <x:c r="A13" s="2"/>
      <x:c r="B13" s="15" t="n">
        <x:v>6</x:v>
      </x:c>
      <x:c r="C13" s="15" t="str">
        <x:v>Gate Owner</x:v>
      </x:c>
      <x:c r="D13" s="15" t="str">
        <x:v>Sekiz atomik kontrolü inceler ve G1 kararını ayrı kayıtla verir</x:v>
      </x:c>
      <x:c r="E13" s="15" t="str">
        <x:v>G1-JOB01 kararı</x:v>
      </x:c>
      <x:c r="F13" s="15" t="str">
        <x:v>Formül insan onayının yerine geçmez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4" t="str">
        <x:v>Durum</x:v>
      </x:c>
      <x:c r="C17" s="24" t="str">
        <x:v>Tanım</x:v>
      </x:c>
      <x:c r="D17" s="24" t="str">
        <x:v>PASS kullanım sınırı</x:v>
      </x:c>
      <x:c r="E17" s="24" t="str">
        <x:v>Örnek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Gerçek kaynak ve/veya yetkili insan onayı mevcut</x:v>
      </x:c>
      <x:c r="E18" s="15" t="str">
        <x:v>CLAUDE-11a yerel hash doğrulaması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Dış bağımlılık, yetki veya zorunlu kanıt eksik</x:v>
      </x:c>
      <x:c r="D19" s="15" t="str">
        <x:v>PASS verilemez</x:v>
      </x:c>
      <x:c r="E19" s="15" t="str">
        <x:v>PKG-A/B MISSING; CF-09 kararı yok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bilgi yok veya belirlenmedi</x:v>
      </x:c>
      <x:c r="D20" s="15" t="str">
        <x:v>Değer uydurulamaz</x:v>
      </x:c>
      <x:c r="E20" s="15" t="str">
        <x:v>TFT pin ihtiyacı; G5 uygulanabilirliği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Test/inceleme henüz çalıştırılmadı</x:v>
      </x:c>
      <x:c r="D21" s="15" t="str">
        <x:v>Sonuç çıkarılamaz</x:v>
      </x:c>
      <x:c r="E21" s="15" t="str">
        <x:v>G3 ERC/simülasyon; fiziksel bench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—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Sınıf</x:v>
      </x:c>
      <x:c r="C25" s="24" t="str">
        <x:v>Tanım</x:v>
      </x:c>
      <x:c r="D25" s="24" t="str">
        <x:v>PASS'e katkı</x:v>
      </x:c>
      <x:c r="E25" s="24" t="str">
        <x:v>Not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söyler</x:v>
      </x:c>
      <x:c r="D26" s="15" t="str">
        <x:v>Kapsamı kadar doğrudan</x:v>
      </x:c>
      <x:c r="E26" s="15" t="str">
        <x:v>Sürüm ve konum kaydı gerekir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5" t="str">
        <x:v>DERIVED</x:v>
      </x:c>
      <x:c r="C27" s="15" t="str">
        <x:v>Açık kaynaklardan yeniden üretilebilir çıkarım</x:v>
      </x:c>
      <x:c r="D27" s="15" t="str">
        <x:v>Türetim kuralı ve girdiler görünürse</x:v>
      </x:c>
      <x:c r="E27" s="15" t="str">
        <x:v>Varsayım değildir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15" t="str">
        <x:v>ENGINEERING_RULE</x:v>
      </x:c>
      <x:c r="C28" s="15" t="str">
        <x:v>Kaynaklı veya kabul edilmiş mühendislik kuralı</x:v>
      </x:c>
      <x:c r="D28" s="15" t="str">
        <x:v>Uygun kapı ve sınır içinde</x:v>
      </x:c>
      <x:c r="E28" s="15" t="str">
        <x:v>Müşteri gereksiniminin yerine geçmez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Vekil, ikincil veya dış referans</x:v>
      </x:c>
      <x:c r="D29" s="15" t="str">
        <x:v>Destekleyici</x:v>
      </x:c>
      <x:c r="E29" s="15" t="str">
        <x:v>Özgün PKG-A/B yerine geçmez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Tek başına PASS vermez</x:v>
      </x:c>
      <x:c r="E30" s="15" t="str">
        <x:v>Yerelde yeniden doğrulanmalıdır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Süreç kontrolüne katkı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PASS vermez</x:v>
      </x:c>
      <x:c r="E32" s="15" t="str">
        <x:v>Açıkça etiketlenir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PASS vermez</x:v>
      </x:c>
      <x:c r="E33" s="15" t="str">
        <x:v>Tahmin edilmez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birbiriyle uyumsuz</x:v>
      </x:c>
      <x:c r="D34" s="15" t="str">
        <x:v>Çözülene kadar PASS vermez</x:v>
      </x:c>
      <x:c r="E34" s="15" t="str">
        <x:v>Kayıtlar korunur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Uygulanabilirlik ve karar enumları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4" t="str">
        <x:v>Alan</x:v>
      </x:c>
      <x:c r="C38" s="24" t="str">
        <x:v>İzinli değer</x:v>
      </x:c>
      <x:c r="D38" s="24" t="str">
        <x:v>Kullanım</x:v>
      </x:c>
      <x:c r="E38" s="24" t="str">
        <x:v>Kısıt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15" t="str">
        <x:v>status</x:v>
      </x:c>
      <x:c r="C39" s="15" t="str">
        <x:v>PASS / BLOCKED / UNKNOWN / NOT_RUN</x:v>
      </x:c>
      <x:c r="D39" s="15" t="str">
        <x:v>Tüm sonuç hücreleri</x:v>
      </x:c>
      <x:c r="E39" s="15" t="str">
        <x:v>Başka durum yazma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6" hidden="0" customHeight="1">
      <x:c r="A40" s="2"/>
      <x:c r="B40" s="15" t="str">
        <x:v>applicability</x:v>
      </x:c>
      <x:c r="C40" s="15" t="str">
        <x:v>APPLICABLE / NOT_APPLICABLE_FOR_JOB01 / PORTFOLIO_ONLY</x:v>
      </x:c>
      <x:c r="D40" s="15" t="str">
        <x:v>Kapsam etiketi</x:v>
      </x:c>
      <x:c r="E40" s="15" t="str">
        <x:v>N/A yalnız uygulanabilirliktir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hidden="0" customHeight="1">
      <x:c r="A41" s="2"/>
      <x:c r="B41" s="15" t="str">
        <x:v>cf09_option</x:v>
      </x:c>
      <x:c r="C41" s="15" t="str">
        <x:v>UNDECIDED / MIRRORED_5 / INDEPENDENT_10</x:v>
      </x:c>
      <x:c r="D41" s="15" t="str">
        <x:v>CF-09 insan kararı</x:v>
      </x:c>
      <x:c r="E41" s="15" t="str">
        <x:v>UNDECIDED kapanış değildir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15" t="str">
        <x:v>person</x:v>
      </x:c>
      <x:c r="C42" s="15" t="str">
        <x:v>Gerçek kişi adı veya TBD</x:v>
      </x:c>
      <x:c r="D42" s="15" t="str">
        <x:v>Sahiplik</x:v>
      </x:c>
      <x:c r="E42" s="15" t="str">
        <x:v>TBD atanmış/imzalı sayılmaz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  <x:mergeCell ref="B5:I5"/>
    <x:mergeCell ref="B15:I15"/>
    <x:mergeCell ref="B23:I23"/>
    <x:mergeCell ref="B36:I36"/>
  </x:mergeCells>
  <x:conditionalFormatting sqref="B18:B21">
    <x:cfRule type="containsText" dxfId="44" priority="1" operator="containsText" text="PASS"/>
    <x:cfRule type="containsText" dxfId="45" priority="2" operator="containsText" text="BLOCKED"/>
    <x:cfRule type="containsText" dxfId="46" priority="3" operator="containsText" text="UNKNOWN"/>
    <x:cfRule type="containsText" dxfId="47" priority="4" operator="containsText" text="NOT_RUN"/>
  </x:conditionalFormatting>
  <x:pageMargins left="0.7" right="0.7" top="0.75" bottom="0.75" header="0.3" footer="0.3"/>
</x:worksheet>
</file>