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6937ffdec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787017574ef14811"/>
    <x:sheet xmlns:r="http://schemas.openxmlformats.org/officeDocument/2006/relationships" name="Closure Checks" sheetId="2" r:id="R9b2ade4587014bc9"/>
    <x:sheet xmlns:r="http://schemas.openxmlformats.org/officeDocument/2006/relationships" name="Source Evidence" sheetId="3" r:id="R51a7a9bf79884725"/>
    <x:sheet xmlns:r="http://schemas.openxmlformats.org/officeDocument/2006/relationships" name="Duplicate Conflict" sheetId="4" r:id="R8180d35372154e89"/>
    <x:sheet xmlns:r="http://schemas.openxmlformats.org/officeDocument/2006/relationships" name="CF09 Decision" sheetId="5" r:id="R9aba218fc9ce4456"/>
    <x:sheet xmlns:r="http://schemas.openxmlformats.org/officeDocument/2006/relationships" name="Ownership Signoff" sheetId="6" r:id="R1f3e0b4bf7ad4c7b"/>
    <x:sheet xmlns:r="http://schemas.openxmlformats.org/officeDocument/2006/relationships" name="Readme Enums" sheetId="7" r:id="Rcd37d8571d01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1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b975df7544a77" /><Relationship Type="http://schemas.openxmlformats.org/officeDocument/2006/relationships/theme" Target="/xl/theme/theme1.xml" Id="R5f5de91d499944c5" /><Relationship Type="http://schemas.openxmlformats.org/officeDocument/2006/relationships/sharedStrings" Target="/xl/sharedStrings.xml" Id="R97f78278e8fd4519" /><Relationship Type="http://schemas.openxmlformats.org/officeDocument/2006/relationships/worksheet" Target="/xl/worksheets/sheet1.xml" Id="R787017574ef14811" /><Relationship Type="http://schemas.openxmlformats.org/officeDocument/2006/relationships/worksheet" Target="/xl/worksheets/sheet2.xml" Id="R9b2ade4587014bc9" /><Relationship Type="http://schemas.openxmlformats.org/officeDocument/2006/relationships/worksheet" Target="/xl/worksheets/sheet3.xml" Id="R51a7a9bf79884725" /><Relationship Type="http://schemas.openxmlformats.org/officeDocument/2006/relationships/worksheet" Target="/xl/worksheets/sheet4.xml" Id="R8180d35372154e89" /><Relationship Type="http://schemas.openxmlformats.org/officeDocument/2006/relationships/worksheet" Target="/xl/worksheets/sheet5.xml" Id="R9aba218fc9ce4456" /><Relationship Type="http://schemas.openxmlformats.org/officeDocument/2006/relationships/worksheet" Target="/xl/worksheets/sheet6.xml" Id="R1f3e0b4bf7ad4c7b" /><Relationship Type="http://schemas.openxmlformats.org/officeDocument/2006/relationships/worksheet" Target="/xl/worksheets/sheet7.xml" Id="Rcd37d8571d014cf9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29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"/>
    <x:tableColumn id="8" name="Kayıtlı / beklenen SHA-256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f281f3b61443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0397d45c1449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df4e74afa941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fc92923d594b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ab982e6621411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v1.1 formül bağlantıları doğrulandı; formül sonucu insan kapı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WF01-G1-JOB01-CLOSE-v1.1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G5 uygulanabilirliği</x:v>
      </x:c>
      <x:c r="C11" s="15" t="str">
        <x:v>UNKNOWN; bench 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SHA-256,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CF-09 mantıksal akış kararı</x:v>
      </x:c>
      <x:c r="D26" s="15" t="str">
        <x:v>BLOCKED</x:v>
      </x:c>
      <x:c r="E26" s="15" t="str">
        <x:v>MIRRORED_5 veya INDEPENDENT_10 seçeneklerinden birini müşteri kanıtıyla yazılı seç.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CF-09 mimari uygunluk</x:v>
      </x:c>
      <x:c r="D28" s="15" t="str">
        <x:v>NOT_RUN</x:v>
      </x:c>
      <x:c r="E28" s="15" t="str">
        <x:v>Mantıksal karar kapandıktan sonra G2'de UART/bridge/helper-MCU kapasitesini ve exact-part kanıtını değerlendir.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CF-09 müşteri kararı ve adlandırılmış bağımsız doğrulama kapanmadan G2 tasarım girdileri dondurulamaz. Mevcut internet/GitHub araştırması yalnız karar senaryolarını sınırlar; kaynak paketlerin veya mimari PASS'in yerine geçmez.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Signoff'!$D$6&lt;&gt;"",'Ownership Signoff'!$G$6="PASS"),"PASS","BLOCKED")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Signoff'!$D$7&lt;&gt;"",'Ownership Signoff'!$G$7="PASS"),"PASS","BLOCKED")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Signoff'!$D$8&lt;&gt;"",'Ownership Signoff'!$E$8&lt;&gt;"",'Ownership Signoff'!$G$8="PASS"),"PASS","BLOCKED")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bayt/hash/lisans/provenans doğrulaması PASS</x:v>
      </x:c>
      <x:c r="D9" s="15" t="str">
        <x:v>Source Evidence / PKG-A; PKG-B</x:v>
      </x:c>
      <x:c r="E9" s="15" t="str">
        <x:f>IF(AND('Source Evidence'!$L$6="PASS",'Source Evidence'!$L$7="PASS"),"PASS","BLOCKED")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X4A</x:v>
      </x:c>
      <x:c r="C11" s="15" t="str">
        <x:v>CF-09 için iki izinli mantıksal daldan biri müşteri kanıtıyla seçildi ve onaylandı</x:v>
      </x:c>
      <x:c r="D11" s="15" t="str">
        <x:v>CF09 Decision / C6:C12</x:v>
      </x:c>
      <x:c r="E11" s="15" t="str">
        <x:f>'CF09 Decision'!$C$12</x:f>
        <x:v>BLOCKED</x:v>
      </x:c>
      <x:c r="F11" s="15" t="str">
        <x:v>Customer / Requirements Owner</x:v>
      </x:c>
      <x:c r="G11" s="15" t="str">
        <x:v>BLOCKED</x:v>
      </x:c>
      <x:c r="H11" s="15" t="str">
        <x:v>Akış aynalama ilişkisi yazılı değil</x:v>
      </x:c>
      <x:c r="I11" s="15" t="str">
        <x:v>İki seçenekten birini müşteri kanıtıyla seç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Conflict'!$I$6:$I$11,"PASS")=6,'Ownership Signoff'!$G$8="PASS"),"PASS","BLOCKED")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94f281f3b61443bf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yalnız destekleyici kayıt, vekil belge veya güncel araştırmayı gösterir.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</x:v>
      </x:c>
      <x:c r="I5" s="24" t="str">
        <x:v>Kayıtlı / beklenen SHA-256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15" t="str">
        <x:v>MISSING</x:v>
      </x:c>
      <x:c r="G6" s="15" t="str">
        <x:v>UNKNOWN</x:v>
      </x:c>
      <x:c r="H6" s="15" t="str">
        <x:v>UNKNOWN</x:v>
      </x:c>
      <x:c r="I6" s="15" t="str">
        <x:v>CCA30533197956810DBB880C9D767326CB289E83167DF5370CF1A6A8170C4ED4</x:v>
      </x:c>
      <x:c r="J6" s="15" t="str">
        <x:v>HANDOFF_ONLY; UNKNOWN</x:v>
      </x:c>
      <x:c r="K6" s="15" t="str">
        <x:v>CLAUDE-08: 63 dosya, 27.854.101 bayt; yerelde yeniden üretilemedi</x:v>
      </x:c>
      <x:c r="L6" s="15" t="str">
        <x:v>BLOCKED</x:v>
      </x:c>
      <x:c r="M6" s="15" t="str">
        <x:v>Vekil PDF/URL ve uzaktaki ACCESSIBLE iddiası özgün baytların yerine geçmez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15" t="str">
        <x:v>MISSING</x:v>
      </x:c>
      <x:c r="G7" s="15" t="str">
        <x:v>UNKNOWN</x:v>
      </x:c>
      <x:c r="H7" s="15" t="str">
        <x:v>UNKNOWN</x:v>
      </x:c>
      <x:c r="I7" s="15" t="str">
        <x:v>689E48478371EDB21DE96B1C5D547D9767BD22EF0618158792D627996C36052D</x:v>
      </x:c>
      <x:c r="J7" s="15" t="str">
        <x:v>HANDOFF_ONLY; UNKNOWN</x:v>
      </x:c>
      <x:c r="K7" s="15" t="str">
        <x:v>CLAUDE-08: 82 dosya, 128.611.424 bayt; yerelde yeniden üretilemedi</x:v>
      </x:c>
      <x:c r="L7" s="15" t="str">
        <x:v>BLOCKED</x:v>
      </x:c>
      <x:c r="M7" s="15" t="str">
        <x:v>Dört kayıtlı PKG-B PDF hash'i yereldeki 22 PDF ile eşleşmedi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570397d45c144984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bağımsız doğrulama ile PASS olmadan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Sekiz resmî PDF yerelde PRESENT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1">
    <x:dataValidation type="list" sqref="I6:I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f4e74afa94177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7" hidden="0" customWidth="1"/>
    <x:col min="3" max="3" width="35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Yalnız MIRRORED_5 veya INDEPENDENT_10 seçilebilir. Bu seçim G1 gereksinimini kapatır; mimari kapasite ve exact-part PASS'i ayrıca G2/G3 kanıtı ister.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hidden="0" customHeight="1">
      <x:c r="A6" s="2"/>
      <x:c r="B6" s="14" t="str">
        <x:v>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hidden="0" customHeight="1">
      <x:c r="A7" s="2"/>
      <x:c r="B7" s="14" t="str">
        <x:v>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hidden="0" customHeight="1">
      <x:c r="A9" s="2"/>
      <x:c r="B9" s="14" t="str">
        <x:v>Gate Owner (gerçek kişi)</x:v>
      </x:c>
      <x:c r="C9" s="46" t="str"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Karar tarihi</x:v>
      </x:c>
      <x:c r="C10" s="46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4" t="str">
        <x:v>CF-09 kapanış sonucu</x:v>
      </x:c>
      <x:c r="C12" s="15" t="str">
        <x:f>IF(AND(OR(C6="MIRRORED_5",C6="INDEPENDENT_10"),C7&lt;&gt;"",C8&lt;&gt;"",C8&lt;&gt;"TBD",C9&lt;&gt;"",C9&lt;&gt;"TBD",C10&lt;&gt;"",C11="PASS"),"PASS","BLOCKED")</x:f>
        <x:v>BLOCKED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Q1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CF-09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CF-09 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Q3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Q4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Q5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Karar senaryoları ve GitHub / resmî kaynak analizi</x:v>
      </x:c>
      <x:c r="C23" s="19"/>
      <x:c r="D23" s="19"/>
      <x:c r="E23" s="19"/>
      <x:c r="F23" s="19"/>
      <x:c r="G23" s="19"/>
      <x:c r="H23" s="19"/>
      <x:c r="I23" s="19"/>
      <x:c r="J23" s="1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Q1 evet; Q2=5; Q3 eşleşir; müşteri kanıtı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Exact part/firmware, throughput, framing, failure mode,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Q2; Q3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3:J23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c92923d594bb0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Bağımsız Doğrulama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Sarı hücreler insan girdisidir. Bağımsız doğrulayan, hazırlayan veya Evidence Owner ile aynı kişi olmamalıdır.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46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46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46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1">
    <x:dataValidation type="list" sqref="G6:G8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ab982e66214118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 / Requirements Owner</x:v>
      </x:c>
      <x:c r="D10" s="15" t="str">
        <x:v>CF-09 için MIRRORED_5 veya INDEPENDENT_10 seçimini yazılı kanıtla verir</x:v>
      </x:c>
      <x:c r="E10" s="15" t="str">
        <x:v>CF09 Decision</x:v>
      </x:c>
      <x:c r="F10" s="15" t="str">
        <x:v>Karar yoksa 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