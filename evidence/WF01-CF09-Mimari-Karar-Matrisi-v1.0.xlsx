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38698faaa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r Ozeti" sheetId="1" r:id="Rea443d328b6f49b4"/>
    <x:sheet xmlns:r="http://schemas.openxmlformats.org/officeDocument/2006/relationships" name="Girdi Formu" sheetId="2" r:id="R99a5cfa0e7004de7"/>
    <x:sheet xmlns:r="http://schemas.openxmlformats.org/officeDocument/2006/relationships" name="Mimari Matris" sheetId="3" r:id="R03546e0938654a83"/>
    <x:sheet xmlns:r="http://schemas.openxmlformats.org/officeDocument/2006/relationships" name="Kapasite Senaryolari" sheetId="4" r:id="Raa43df53b80341e9"/>
    <x:sheet xmlns:r="http://schemas.openxmlformats.org/officeDocument/2006/relationships" name="Aday Aileler" sheetId="5" r:id="R1e9e455454ab4903"/>
    <x:sheet xmlns:r="http://schemas.openxmlformats.org/officeDocument/2006/relationships" name="Dogrulama Plani" sheetId="6" r:id="Rd1c806843cb541c3"/>
    <x:sheet xmlns:r="http://schemas.openxmlformats.org/officeDocument/2006/relationships" name="Kaynaklar" sheetId="7" r:id="R42decf4c7c6541eb"/>
    <x:sheet xmlns:r="http://schemas.openxmlformats.org/officeDocument/2006/relationships" name="Kullanim" sheetId="8" r:id="Ra3f507cb1ae5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1"/>
      <x:color rgb="FF9C0006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/>
      <x:diagonal/>
    </x:border>
    <x:border>
      <x:left/>
      <x:right style="thin">
        <x:color rgb="FFC00000"/>
      </x:right>
      <x:top/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/>
    </x:xf>
    <x:xf numFmtId="0" fontId="6" fillId="5" borderId="7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/>
    </x:xf>
    <x:xf numFmtId="0" fontId="6" fillId="5" borderId="9" xfId="0" applyNumberFormat="1" applyFont="1" applyFill="1" applyBorder="1" applyAlignment="1">
      <x:alignment vertical="top"/>
    </x:xf>
    <x:xf numFmtId="0" fontId="6" fillId="5" borderId="1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horizontal="center" vertical="top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4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5260f4fac4be4" /><Relationship Type="http://schemas.openxmlformats.org/officeDocument/2006/relationships/theme" Target="/xl/theme/theme1.xml" Id="R34668a9840ce4532" /><Relationship Type="http://schemas.openxmlformats.org/officeDocument/2006/relationships/sharedStrings" Target="/xl/sharedStrings.xml" Id="R867553227bf14f61" /><Relationship Type="http://schemas.openxmlformats.org/officeDocument/2006/relationships/worksheet" Target="/xl/worksheets/sheet1.xml" Id="Rea443d328b6f49b4" /><Relationship Type="http://schemas.openxmlformats.org/officeDocument/2006/relationships/worksheet" Target="/xl/worksheets/sheet2.xml" Id="R99a5cfa0e7004de7" /><Relationship Type="http://schemas.openxmlformats.org/officeDocument/2006/relationships/worksheet" Target="/xl/worksheets/sheet3.xml" Id="R03546e0938654a83" /><Relationship Type="http://schemas.openxmlformats.org/officeDocument/2006/relationships/worksheet" Target="/xl/worksheets/sheet4.xml" Id="Raa43df53b80341e9" /><Relationship Type="http://schemas.openxmlformats.org/officeDocument/2006/relationships/worksheet" Target="/xl/worksheets/sheet5.xml" Id="R1e9e455454ab4903" /><Relationship Type="http://schemas.openxmlformats.org/officeDocument/2006/relationships/worksheet" Target="/xl/worksheets/sheet6.xml" Id="Rd1c806843cb541c3" /><Relationship Type="http://schemas.openxmlformats.org/officeDocument/2006/relationships/worksheet" Target="/xl/worksheets/sheet7.xml" Id="R42decf4c7c6541eb" /><Relationship Type="http://schemas.openxmlformats.org/officeDocument/2006/relationships/worksheet" Target="/xl/worksheets/sheet8.xml" Id="Ra3f507cb1ae5496c" /></Relationships>
</file>

<file path=xl/tables/table1.xml><?xml version="1.0" encoding="utf-8"?>
<x:table xmlns:x="http://schemas.openxmlformats.org/spreadsheetml/2006/main" id="1" name="ArchitectureMatrixTable" displayName="ArchitectureMatrixTable" ref="B5:K12" headerRowCount="1" totalsRowCount="0" totalsRowShown="0">
  <x:tableColumns count="10">
    <x:tableColumn id="1" name="ID"/>
    <x:tableColumn id="2" name="Dal"/>
    <x:tableColumn id="3" name="Mantıksal TX"/>
    <x:tableColumn id="4" name="Önerilen topoloji sınıfı"/>
    <x:tableColumn id="5" name="Kapasite / kaynak"/>
    <x:tableColumn id="6" name="Durum"/>
    <x:tableColumn id="7" name="Ana avantaj"/>
    <x:tableColumn id="8" name="Engel / reddetme koşulu"/>
    <x:tableColumn id="9" name="Zorunlu sonraki kanıt"/>
    <x:tableColumn id="10" name="Kaynak sınıf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ScenarioTable" displayName="CapacityScenarioTable" ref="B5:I12" headerRowCount="1" totalsRowCount="0" totalsRowShown="0">
  <x:tableColumns count="8">
    <x:tableColumn id="1" name="ID"/>
    <x:tableColumn id="2" name="Gerekli bağımsız TX"/>
    <x:tableColumn id="3" name="Quad aygıt"/>
    <x:tableColumn id="4" name="Dual aygıt"/>
    <x:tableColumn id="5" name="Toplam kanal"/>
    <x:tableColumn id="6" name="Kullanılmayan"/>
    <x:tableColumn id="7" name="Aygıt sayısı"/>
    <x:tableColumn id="8" name="Dur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FamilyTable" displayName="CandidateFamilyTable" ref="B5:K22" headerRowCount="1" totalsRowCount="0" totalsRowShown="0">
  <x:tableColumns count="10">
    <x:tableColumn id="1" name="ID"/>
    <x:tableColumn id="2" name="Aile / çevre birimi"/>
    <x:tableColumn id="3" name="Sınıf"/>
    <x:tableColumn id="4" name="Kanal"/>
    <x:tableColumn id="5" name="Host / kontrol"/>
    <x:tableColumn id="6" name="FIFO / hız notu"/>
    <x:tableColumn id="7" name="Besleme sınıfı"/>
    <x:tableColumn id="8" name="Yaşam döngüsü"/>
    <x:tableColumn id="9" name="Ana sınırlama"/>
    <x:tableColumn id="10" name="Dur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ificationPlanTable" displayName="VerificationPlanTable" ref="B5:J16" headerRowCount="1" totalsRowCount="0" totalsRowShown="0">
  <x:tableColumns count="9">
    <x:tableColumn id="1" name="Test ID"/>
    <x:tableColumn id="2" name="Kapsam"/>
    <x:tableColumn id="3" name="Yöntem / araç"/>
    <x:tableColumn id="4" name="Gerekli girdi"/>
    <x:tableColumn id="5" name="Kabul ölçütü"/>
    <x:tableColumn id="6" name="Kapı"/>
    <x:tableColumn id="7" name="Sahip"/>
    <x:tableColumn id="8" name="Durum"/>
    <x:tableColumn id="9" name="Kanıt çıktıs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fficialSourceTable" displayName="OfficialSourceTable" ref="B5:J30" headerRowCount="1" totalsRowCount="0" totalsRowShown="0">
  <x:tableColumns count="9">
    <x:tableColumn id="1" name="Kaynak ID"/>
    <x:tableColumn id="2" name="Kuruluş"/>
    <x:tableColumn id="3" name="Belge / sayfa"/>
    <x:tableColumn id="4" name="URL"/>
    <x:tableColumn id="5" name="Doğrudan desteklediği iddia"/>
    <x:tableColumn id="6" name="Kanıt sınıfı"/>
    <x:tableColumn id="7" name="Erişim"/>
    <x:tableColumn id="8" name="Sınırlama"/>
    <x:tableColumn id="9" name="Dur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9e08972d384f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2eabc4c25be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a05a8a560f346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90ca1d5a01f4e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c23101f66d3467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CF-09 Mimari Karar Matrisi v1.0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Resmî üretici ve Espressif kaynaklarına dayalı araştırma kaydı · 18.10.2026 · Exact-part, pin veya teknik PASS kararı değildir.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WF01-CF09-ARCH-MATRIX-v1.0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CF-09 gereksinim kararı</x:v>
      </x:c>
      <x:c r="C6" s="15" t="str">
        <x:v>BLOCKED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Mimari doğrulama</x:v>
      </x:c>
      <x:c r="C7" s="15" t="str"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Bench / yük testi</x:v>
      </x:c>
      <x:c r="C8" s="15" t="str">
        <x:v>NOT_RUN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G1-JOB01 etkisi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G2 etkisi</x:v>
      </x:c>
      <x:c r="C10" s="15" t="str">
        <x:v>BLOCKED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Seçili dal</x:v>
      </x:c>
      <x:c r="C11" s="15" t="str">
        <x:f>'Girdi Formu'!C6</x:f>
        <x:v>UNDECIDED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Girdi tamlığı</x:v>
      </x:c>
      <x:c r="C12" s="15" t="str">
        <x:f>'Girdi Formu'!C25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hidden="0" customHeight="1">
      <x:c r="A13" s="2"/>
      <x:c r="B13" s="14" t="str">
        <x:v>Çalışma sınırı</x:v>
      </x:c>
      <x:c r="C13" s="15" t="str">
        <x:v>Yerel araştırma; Drive/uzak yazma ve Git değişikliği yok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Araştırma hükmü</x:v>
      </x:c>
      <x:c r="C15" s="19"/>
      <x:c r="D15" s="19"/>
      <x:c r="E15" s="19"/>
      <x:c r="F15" s="19"/>
      <x:c r="G15" s="19"/>
      <x:c r="H15" s="19"/>
      <x:c r="I15" s="19"/>
      <x:c r="J15" s="1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hidden="0" customHeight="1">
      <x:c r="A17" s="2"/>
      <x:c r="B17" s="39" t="str">
        <x:v>Resmî kaynaklar ESP32-S3 üzerinde üç donanım UART bulunduğunu, RMT'nin genel amaçlı dalga üretimi sunduğunu ve harici UART/RS-232 ailelerinin uygulanabilir sınıflar olduğunu doğruluyor. Buna karşın hiçbir kaynak, beş TTL TX ile beş RS-232 TX'in beş eşlenik akış mı yoksa on bağımsız akış mı olduğunu belirlemiyor. RMT-as-UART yayımlanmış/desteklenen ESP-IDF özelliği değildir. Bu yüzden CF-09 ve G1 BLOCKED kalır.</x:v>
      </x:c>
      <x:c r="C17" s="40"/>
      <x:c r="D17" s="40"/>
      <x:c r="E17" s="40"/>
      <x:c r="F17" s="40"/>
      <x:c r="G17" s="40"/>
      <x:c r="H17" s="40"/>
      <x:c r="I17" s="40"/>
      <x:c r="J17" s="4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hidden="0" customHeight="1">
      <x:c r="A18" s="2"/>
      <x:c r="B18" s="42"/>
      <x:c r="C18" s="43"/>
      <x:c r="D18" s="43"/>
      <x:c r="E18" s="43"/>
      <x:c r="F18" s="43"/>
      <x:c r="G18" s="43"/>
      <x:c r="H18" s="43"/>
      <x:c r="I18" s="43"/>
      <x:c r="J18" s="44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hidden="0" customHeight="1">
      <x:c r="A19" s="2"/>
      <x:c r="B19" s="45"/>
      <x:c r="C19" s="46"/>
      <x:c r="D19" s="46"/>
      <x:c r="E19" s="46"/>
      <x:c r="F19" s="46"/>
      <x:c r="G19" s="46"/>
      <x:c r="H19" s="46"/>
      <x:c r="I19" s="46"/>
      <x:c r="J19" s="4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9" t="str">
        <x:v>İki karar dalının kısa karşılaştırması</x:v>
      </x:c>
      <x:c r="C21" s="19"/>
      <x:c r="D21" s="19"/>
      <x:c r="E21" s="19"/>
      <x:c r="F21" s="19"/>
      <x:c r="G21" s="19"/>
      <x:c r="H21" s="19"/>
      <x:c r="I21" s="19"/>
      <x:c r="J21" s="1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52" t="str">
        <x:v>Dal</x:v>
      </x:c>
      <x:c r="C23" s="52" t="str">
        <x:v>Mantıksal anlam</x:v>
      </x:c>
      <x:c r="D23" s="52" t="str">
        <x:v>En düşük kanıtlı yol</x:v>
      </x:c>
      <x:c r="E23" s="52" t="str">
        <x:v>İç kaynak durumu</x:v>
      </x:c>
      <x:c r="F23" s="52" t="str">
        <x:v>Harici yol</x:v>
      </x:c>
      <x:c r="G23" s="52" t="str">
        <x:v>Fiziksel RS-232</x:v>
      </x:c>
      <x:c r="H23" s="52" t="str">
        <x:v>Bugünkü durum</x:v>
      </x:c>
      <x:c r="I23" s="52" t="str">
        <x:v>Gerekli insan kararı</x:v>
      </x:c>
      <x:c r="J23" s="52" t="str">
        <x:v>PASS sınırı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82" hidden="0" customHeight="1">
      <x:c r="A24" s="2"/>
      <x:c r="B24" s="15" t="str">
        <x:v>MIRRORED_5</x:v>
      </x:c>
      <x:c r="C24" s="15" t="str">
        <x:v>Beş ayrı TX; her TTL_i ile RS232_i aynı payload/baud/framing</x:v>
      </x:c>
      <x:c r="D24" s="15" t="str">
        <x:v>Harici UART köprüsü veya deneysel 2 HW UART + 3 RMT TX</x:v>
      </x:c>
      <x:c r="E24" s="15" t="str">
        <x:v>Sayısal olarak mümkün; RMT-UART prototipi NOT_RUN</x:v>
      </x:c>
      <x:c r="F24" s="15" t="str">
        <x:v>5 mantıksal TX için dual/quad köprü sınıfları araştırılabilir</x:v>
      </x:c>
      <x:c r="G24" s="15" t="str">
        <x:v>5T/3R sınıfı beş RS-232 TX + bir RX'i fiziksel olarak karşılayabilir</x:v>
      </x:c>
      <x:c r="H24" s="15" t="str">
        <x:v>BLOCKED</x:v>
      </x:c>
      <x:c r="I24" s="15" t="str">
        <x:v>Eşleme ve eşzamanlılık yazılı olarak onaylanmalı</x:v>
      </x:c>
      <x:c r="J24" s="15" t="str">
        <x:v>Müşteri kararı + exact-part + yük/boot/bench kanıtı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82" hidden="0" customHeight="1">
      <x:c r="A25" s="2"/>
      <x:c r="B25" s="15" t="str">
        <x:v>INDEPENDENT_10</x:v>
      </x:c>
      <x:c r="C25" s="15" t="str">
        <x:v>Beş TTL TX ile beş RS-232 TX on ayrı mantıksal akış</x:v>
      </x:c>
      <x:c r="D25" s="15" t="str">
        <x:v>Harici çoklu-UART köprüsü, helper MCU veya FPGA</x:v>
      </x:c>
      <x:c r="E25" s="15" t="str">
        <x:v>3 UART + 4 RMT TX teorik 7; UART0 korunursa 2 + 4 = 6</x:v>
      </x:c>
      <x:c r="F25" s="15" t="str">
        <x:v>10 harici kanal için 2 quad + 1 dual gibi türetilmiş kombinasyonlar</x:v>
      </x:c>
      <x:c r="G25" s="15" t="str">
        <x:v>Beş RS-232 akışı için 5T/3R veya modüler sürücüler</x:v>
      </x:c>
      <x:c r="H25" s="15" t="str">
        <x:v>BLOCKED</x:v>
      </x:c>
      <x:c r="I25" s="15" t="str">
        <x:v>On bağımsız ve eşzamanlı akış gerektiği yazılı olarak onaylanmalı</x:v>
      </x:c>
      <x:c r="J25" s="15" t="str">
        <x:v>Exact-part + veri yolu + GPIO + güç + bench kanıtı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9" t="str">
        <x:v>Durum sayımı</x:v>
      </x:c>
      <x:c r="C27" s="19"/>
      <x:c r="D27" s="19"/>
      <x:c r="E27" s="19"/>
      <x:c r="F27" s="19"/>
      <x:c r="G27" s="19"/>
      <x:c r="H27" s="19"/>
      <x:c r="I27" s="19"/>
      <x:c r="J27" s="1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52" t="str">
        <x:v>Kaynak</x:v>
      </x:c>
      <x:c r="C29" s="52" t="str">
        <x:v>PASS</x:v>
      </x:c>
      <x:c r="D29" s="52" t="str">
        <x:v>BLOCKED</x:v>
      </x:c>
      <x:c r="E29" s="52" t="str">
        <x:v>UNKNOWN / NOT_RUN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Mimari Matris</x:v>
      </x:c>
      <x:c r="C30" s="15" t="n">
        <x:f>COUNTIF('Mimari Matris'!$G$6:$G$12,"PASS")</x:f>
        <x:v>0</x:v>
      </x:c>
      <x:c r="D30" s="15" t="n">
        <x:f>COUNTIF('Mimari Matris'!$G$6:$G$12,"BLOCKED")</x:f>
        <x:v>5</x:v>
      </x:c>
      <x:c r="E30" s="15" t="n">
        <x:f>COUNTIF('Mimari Matris'!$G$6:$G$12,"UNKNOWN")+COUNTIF('Mimari Matris'!$G$6:$G$12,"NOT_RUN")</x:f>
        <x:v>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Doğrulama Planı</x:v>
      </x:c>
      <x:c r="C31" s="15" t="n">
        <x:f>COUNTIF('Dogrulama Plani'!$I$6:$I$16,"PASS")</x:f>
        <x:v>0</x:v>
      </x:c>
      <x:c r="D31" s="15" t="n">
        <x:f>COUNTIF('Dogrulama Plani'!$I$6:$I$16,"BLOCKED")</x:f>
        <x:v>3</x:v>
      </x:c>
      <x:c r="E31" s="15" t="n">
        <x:f>COUNTIF('Dogrulama Plani'!$I$6:$I$16,"UNKNOWN")+COUNTIF('Dogrulama Plani'!$I$6:$I$16,"NOT_RUN")</x:f>
        <x:v>8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Aday Aileler</x:v>
      </x:c>
      <x:c r="C32" s="15" t="n">
        <x:f>COUNTIF('Aday Aileler'!$K$6:$K$22,"PASS")</x:f>
        <x:v>0</x:v>
      </x:c>
      <x:c r="D32" s="15" t="n">
        <x:f>COUNTIF('Aday Aileler'!$K$6:$K$22,"BLOCKED")</x:f>
        <x:v>2</x:v>
      </x:c>
      <x:c r="E32" s="15" t="n">
        <x:f>COUNTIF('Aday Aileler'!$K$6:$K$22,"UNKNOWN")+COUNTIF('Aday Aileler'!$K$6:$K$22,"NOT_RUN")</x:f>
        <x:v>15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  <x:mergeCell ref="B15:J15"/>
    <x:mergeCell ref="B17:J19"/>
    <x:mergeCell ref="B21:J21"/>
    <x:mergeCell ref="B27:J27"/>
  </x:mergeCells>
  <x:conditionalFormatting sqref="C6:C12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H24:H25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D966"/>
  </x:sheetPr>
  <x:sheetViews>
    <x:sheetView showGridLines="0" workbookViewId="0"/>
  </x:sheetViews>
  <x:sheetFormatPr defaultRowHeight="15"/>
  <x:cols>
    <x:col min="2" max="2" width="37" hidden="0" customWidth="1"/>
    <x:col min="3" max="3" width="31" hidden="0" customWidth="1"/>
    <x:col min="4" max="4" width="5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Yetkili Girdi Formu</x:v>
      </x:c>
      <x:c r="C2" s="6"/>
      <x:c r="D2" s="6"/>
      <x:c r="E2" s="6"/>
      <x:c r="F2" s="6"/>
      <x:c r="G2" s="6"/>
      <x:c r="H2" s="6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Girdi tamlığı yalnız gereksinim kararının hazırlanmasını gösterir; mimari veya kapı PASS'i üretmez.</x:v>
      </x:c>
      <x:c r="C3" s="10"/>
      <x:c r="D3" s="10"/>
      <x:c r="E3" s="10"/>
      <x:c r="F3" s="10"/>
      <x:c r="G3" s="10"/>
      <x:c r="H3" s="1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Alan</x:v>
      </x:c>
      <x:c r="C5" s="52" t="str">
        <x:v>Değer</x:v>
      </x:c>
      <x:c r="D5" s="52" t="str">
        <x:v>Kapanış ölçütü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Seçilen dal</x:v>
      </x:c>
      <x:c r="C6" s="54" t="str">
        <x:v>UNDECIDED</x:v>
      </x:c>
      <x:c r="D6" s="15" t="str">
        <x:v>MIRRORED_5 veya INDEPENDENT_10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Yetkili müşteri / gereksinim kanıtı</x:v>
      </x:c>
      <x:c r="C7" s="54" t="str">
        <x:v>UNKNOWN</x:v>
      </x:c>
      <x:c r="D7" s="15" t="str">
        <x:v>Belge, karar no, e-posta veya toplantı kaydı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MIRRORED_5 eşleme tanımı</x:v>
      </x:c>
      <x:c r="C8" s="54" t="str">
        <x:v>UNKNOWN</x:v>
      </x:c>
      <x:c r="D8" s="15" t="str">
        <x:v>TTL_i = RS232_i mi; yoksa global 1→10 mu?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15" t="str">
        <x:v>Azami eşzamanlı benzersiz TX akışı</x:v>
      </x:c>
      <x:c r="C9" s="54" t="str">
        <x:v>UNKNOWN</x:v>
      </x:c>
      <x:c r="D9" s="15" t="str">
        <x:v>Sayısal müşteri değeri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hidden="0" customHeight="1">
      <x:c r="A10" s="2"/>
      <x:c r="B10" s="15" t="str">
        <x:v>Kanal bazlı baud</x:v>
      </x:c>
      <x:c r="C10" s="54" t="str">
        <x:v>UNKNOWN</x:v>
      </x:c>
      <x:c r="D10" s="15" t="str">
        <x:v>Her kanal veya ortak değer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hidden="0" customHeight="1">
      <x:c r="A11" s="2"/>
      <x:c r="B11" s="15" t="str">
        <x:v>Data bits / parity / stop bits</x:v>
      </x:c>
      <x:c r="C11" s="54" t="str">
        <x:v>UNKNOWN</x:v>
      </x:c>
      <x:c r="D11" s="15" t="str">
        <x:v>Her kanal veya ortak framing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hidden="0" customHeight="1">
      <x:c r="A12" s="2"/>
      <x:c r="B12" s="15" t="str">
        <x:v>Burst, duty-cycle ve izinli gecikme/jitter</x:v>
      </x:c>
      <x:c r="C12" s="54" t="str">
        <x:v>UNKNOWN</x:v>
      </x:c>
      <x:c r="D12" s="15" t="str">
        <x:v>Yük ve zamanlama sınırı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hidden="0" customHeight="1">
      <x:c r="A13" s="2"/>
      <x:c r="B13" s="15" t="str">
        <x:v>Tek RX fiziksel standardı ve kanal ilişkisi</x:v>
      </x:c>
      <x:c r="C13" s="54" t="str">
        <x:v>UNKNOWN</x:v>
      </x:c>
      <x:c r="D13" s="15" t="str">
        <x:v>TTL/RS-232, kanal, full-duplex ilişkisi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hidden="0" customHeight="1">
      <x:c r="A14" s="2"/>
      <x:c r="B14" s="15" t="str">
        <x:v>Akış kontrolü</x:v>
      </x:c>
      <x:c r="C14" s="54" t="str">
        <x:v>UNKNOWN</x:v>
      </x:c>
      <x:c r="D14" s="15" t="str">
        <x:v>Yok / donanım / yazılım ve ilgili pinler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hidden="0" customHeight="1">
      <x:c r="A15" s="2"/>
      <x:c r="B15" s="15" t="str">
        <x:v>TTL elektrik tanımı</x:v>
      </x:c>
      <x:c r="C15" s="54" t="str">
        <x:v>UNKNOWN</x:v>
      </x:c>
      <x:c r="D15" s="15" t="str">
        <x:v>Gerilim/eşik/yük/polarite; kaynak sağlanmalı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hidden="0" customHeight="1">
      <x:c r="A16" s="2"/>
      <x:c r="B16" s="15" t="str">
        <x:v>DTE/DCE, konnektör ve pinout</x:v>
      </x:c>
      <x:c r="C16" s="54" t="str">
        <x:v>UNKNOWN</x:v>
      </x:c>
      <x:c r="D16" s="15" t="str">
        <x:v>Rol, konnektör, pin eşleme, kablo tipi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hidden="0" customHeight="1">
      <x:c r="A17" s="2"/>
      <x:c r="B17" s="15" t="str">
        <x:v>Kablo, yük, toprak/shield ve izolasyon</x:v>
      </x:c>
      <x:c r="C17" s="54" t="str">
        <x:v>UNKNOWN</x:v>
      </x:c>
      <x:c r="D17" s="15" t="str">
        <x:v>Saha bağlantı sınırları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hidden="0" customHeight="1">
      <x:c r="A18" s="2"/>
      <x:c r="B18" s="15" t="str">
        <x:v>Boot / idle / disable davranışı</x:v>
      </x:c>
      <x:c r="C18" s="54" t="str">
        <x:v>UNKNOWN</x:v>
      </x:c>
      <x:c r="D18" s="15" t="str">
        <x:v>High-Z, idle-high/mark veya başka açık davranış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hidden="0" customHeight="1">
      <x:c r="A19" s="2"/>
      <x:c r="B19" s="15" t="str">
        <x:v>ESD/EFT/surge hedefi</x:v>
      </x:c>
      <x:c r="C19" s="54" t="str">
        <x:v>UNKNOWN</x:v>
      </x:c>
      <x:c r="D19" s="15" t="str">
        <x:v>Standart, seviye ve test noktası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hidden="0" customHeight="1">
      <x:c r="A20" s="2"/>
      <x:c r="B20" s="15" t="str">
        <x:v>Dondurulmuş GPIO / net eşleme</x:v>
      </x:c>
      <x:c r="C20" s="54" t="str">
        <x:v>UNKNOWN</x:v>
      </x:c>
      <x:c r="D20" s="15" t="str">
        <x:v>İşlev-net eşlemeli onaylı belge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hidden="0" customHeight="1">
      <x:c r="A21" s="2"/>
      <x:c r="B21" s="15" t="str">
        <x:v>Karar sahibi ve onay tarihi</x:v>
      </x:c>
      <x:c r="C21" s="54" t="str">
        <x:v>UNKNOWN</x:v>
      </x:c>
      <x:c r="D21" s="15" t="str">
        <x:v>Gerçek kişi + tarih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hidden="0" customHeight="1">
      <x:c r="A22" s="2"/>
      <x:c r="B22" s="15" t="str">
        <x:v>İnsan onay durumu</x:v>
      </x:c>
      <x:c r="C22" s="54" t="str">
        <x:v>UNKNOWN</x:v>
      </x:c>
      <x:c r="D22" s="15" t="str">
        <x:v>PASS / BLOCKED / UNKNOWN / NOT_RUN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19" t="str">
        <x:v>Formül sonucu</x:v>
      </x:c>
      <x:c r="C24" s="19"/>
      <x:c r="D24" s="19"/>
      <x:c r="E24" s="19"/>
      <x:c r="F24" s="19"/>
      <x:c r="G24" s="19"/>
      <x:c r="H24" s="19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14" t="str">
        <x:v>Girdi tamlığı</x:v>
      </x:c>
      <x:c r="C25" s="15" t="str">
        <x:f>IF(AND(OR(C6="MIRRORED_5",C6="INDEPENDENT_10"),C7&lt;&gt;"UNKNOWN",C7&lt;&gt;"",C9&lt;&gt;"UNKNOWN",C10&lt;&gt;"UNKNOWN",C11&lt;&gt;"UNKNOWN",C12&lt;&gt;"UNKNOWN",C13&lt;&gt;"UNKNOWN",C14&lt;&gt;"UNKNOWN",C15&lt;&gt;"UNKNOWN",C16&lt;&gt;"UNKNOWN",C17&lt;&gt;"UNKNOWN",C18&lt;&gt;"UNKNOWN",C19&lt;&gt;"UNKNOWN",C20&lt;&gt;"UNKNOWN",C21&lt;&gt;"UNKNOWN",C21&lt;&gt;"",C22="PASS"),"PASS","BLOCKED")</x:f>
        <x:v>BLOCKED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hidden="0" customHeight="1">
      <x:c r="A26" s="2"/>
      <x:c r="B26" s="14" t="str">
        <x:v>Uyarı</x:v>
      </x:c>
      <x:c r="C26" s="15" t="str">
        <x:v>PASS yalnız formun zorunlu alanlarının dolu olduğunu gösterir; teknik PASS değildir.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H2"/>
    <x:mergeCell ref="B3:H3"/>
    <x:mergeCell ref="B24:H24"/>
  </x:mergeCells>
  <x:conditionalFormatting sqref="C6:C22">
    <x:cfRule type="containsText" dxfId="8" priority="1" operator="containsText" text="PASS"/>
    <x:cfRule type="containsText" dxfId="9" priority="2" operator="containsText" text="BLOCKED"/>
    <x:cfRule type="containsText" dxfId="10" priority="3" operator="containsText" text="UNKNOWN"/>
    <x:cfRule type="containsText" dxfId="11" priority="4" operator="containsText" text="NOT_RUN"/>
  </x:conditionalFormatting>
  <x:conditionalFormatting sqref="C25:C25">
    <x:cfRule type="containsText" dxfId="12" priority="5" operator="containsText" text="PASS"/>
    <x:cfRule type="containsText" dxfId="13" priority="6" operator="containsText" text="BLOCKED"/>
    <x:cfRule type="containsText" dxfId="14" priority="7" operator="containsText" text="UNKNOWN"/>
    <x:cfRule type="containsText" dxfId="15" priority="8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22">
      <x:formula1>"PASS,BLOCKED,UNKNOWN,NOT_RUN"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13" hidden="0" customWidth="1"/>
    <x:col min="5" max="5" width="45" hidden="0" customWidth="1"/>
    <x:col min="6" max="6" width="35" hidden="0" customWidth="1"/>
    <x:col min="7" max="7" width="14" hidden="0" customWidth="1"/>
    <x:col min="8" max="8" width="35" hidden="0" customWidth="1"/>
    <x:col min="9" max="9" width="49" hidden="0" customWidth="1"/>
    <x:col min="10" max="10" width="45" hidden="0" customWidth="1"/>
    <x:col min="11" max="11" width="3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Mimari Senaryo Matrisi</x:v>
      </x:c>
      <x:c r="C2" s="6"/>
      <x:c r="D2" s="6"/>
      <x:c r="E2" s="6"/>
      <x:c r="F2" s="6"/>
      <x:c r="G2" s="6"/>
      <x:c r="H2" s="6"/>
      <x:c r="I2" s="6"/>
      <x:c r="J2" s="6"/>
      <x:c r="K2" s="6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Senaryolar uygulanabilirlik araştırmasıdır. Durumlar yalnız PASS / BLOCKED / UNKNOWN / NOT_RUN sözlüğünü kullanır.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Dal</x:v>
      </x:c>
      <x:c r="D5" s="52" t="str">
        <x:v>Mantıksal TX</x:v>
      </x:c>
      <x:c r="E5" s="52" t="str">
        <x:v>Önerilen topoloji sınıfı</x:v>
      </x:c>
      <x:c r="F5" s="52" t="str">
        <x:v>Kapasite / kaynak</x:v>
      </x:c>
      <x:c r="G5" s="52" t="str">
        <x:v>Durum</x:v>
      </x:c>
      <x:c r="H5" s="52" t="str">
        <x:v>Ana avantaj</x:v>
      </x:c>
      <x:c r="I5" s="52" t="str">
        <x:v>Engel / reddetme koşulu</x:v>
      </x:c>
      <x:c r="J5" s="52" t="str">
        <x:v>Zorunlu sonraki kanıt</x:v>
      </x:c>
      <x:c r="K5" s="52" t="str">
        <x:v>Kaynak sınıfı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86" hidden="0" customHeight="1">
      <x:c r="A6" s="2"/>
      <x:c r="B6" s="15" t="str">
        <x:v>MIR-EXT-1</x:v>
      </x:c>
      <x:c r="C6" s="15" t="str">
        <x:v>MIRRORED_5</x:v>
      </x:c>
      <x:c r="D6" s="15" t="n">
        <x:v>5</x:v>
      </x:c>
      <x:c r="E6" s="15" t="str">
        <x:v>Seri veri yollu harici UART bridge + logic-side eşleme + ayrı 5T/3R</x:v>
      </x:c>
      <x:c r="F6" s="15" t="str">
        <x:v>Quad+dual veya iki quad; iç UART kredisi verilmedi</x:v>
      </x:c>
      <x:c r="G6" s="15" t="str">
        <x:v>BLOCKED</x:v>
      </x:c>
      <x:c r="H6" s="15" t="str">
        <x:v>Desteklenen UART işlevi; TTL ve RS-232 katmanı ayrışır</x:v>
      </x:c>
      <x:c r="I6" s="15" t="str">
        <x:v>Müşteri eşlemesi, bus yükü, GPIO/IRQ/CS ve exact-part yoksa reddet</x:v>
      </x:c>
      <x:c r="J6" s="15" t="str">
        <x:v>Akış haritası; baud/framing; bus bütçesi; boot/power/bench</x:v>
      </x:c>
      <x:c r="K6" s="15" t="str">
        <x:v>SOURCE_EXPLICIT + DERIVED + ENGINEERING_RULE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86" hidden="0" customHeight="1">
      <x:c r="A7" s="2"/>
      <x:c r="B7" s="15" t="str">
        <x:v>MIR-HYB-1</x:v>
      </x:c>
      <x:c r="C7" s="15" t="str">
        <x:v>MIRRORED_5</x:v>
      </x:c>
      <x:c r="D7" s="15" t="n">
        <x:v>5</x:v>
      </x:c>
      <x:c r="E7" s="15" t="str">
        <x:v>2 donanım UART + 3 RMT-TX + logic-side eşleme + ayrı 5T/3R</x:v>
      </x:c>
      <x:c r="F7" s="15" t="str">
        <x:v>UART0 korunursa 2 HW UART; üç RMT-TX prototipi</x:v>
      </x:c>
      <x:c r="G7" s="15" t="str">
        <x:v>BLOCKED</x:v>
      </x:c>
      <x:c r="H7" s="15" t="str">
        <x:v>Ek UART köprüsü olmadan sayısal olarak 5 TX'e ulaşabilir</x:v>
      </x:c>
      <x:c r="I7" s="15" t="str">
        <x:v>RMT-as-UART resmî özellik değildir; parity/timing/ISR yükü kanıtlanmazsa reddet</x:v>
      </x:c>
      <x:c r="J7" s="15" t="str">
        <x:v>Hedef ESP-IDF sürümünde logic-analyzer ve yük/stres testi</x:v>
      </x:c>
      <x:c r="K7" s="15" t="str">
        <x:v>SOURCE_EXPLICIT + ENGINEERING_RULE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86" hidden="0" customHeight="1">
      <x:c r="A8" s="2"/>
      <x:c r="B8" s="15" t="str">
        <x:v>MIR-HELP-1</x:v>
      </x:c>
      <x:c r="C8" s="15" t="str">
        <x:v>MIRRORED_5</x:v>
      </x:c>
      <x:c r="D8" s="15" t="n">
        <x:v>5</x:v>
      </x:c>
      <x:c r="E8" s="15" t="str">
        <x:v>Helper MCU veya FPGA serializer + logic-side eşleme + 5T/3R</x:v>
      </x:c>
      <x:c r="F8" s="15" t="str">
        <x:v>Yardımcı aygıta bağlı</x:v>
      </x:c>
      <x:c r="G8" s="15" t="str">
        <x:v>UNKNOWN</x:v>
      </x:c>
      <x:c r="H8" s="15" t="str">
        <x:v>Zamanlama ve kanal üretimi ana MCU'dan ayrılabilir</x:v>
      </x:c>
      <x:c r="I8" s="15" t="str">
        <x:v>Yeni firmware, programlama, güvenli güncelleme ve arıza modu kabul edilmezse reddet</x:v>
      </x:c>
      <x:c r="J8" s="15" t="str">
        <x:v>Protokol, hata kurtarma, saat, BOM/güç ve programlama planı</x:v>
      </x:c>
      <x:c r="K8" s="15" t="str">
        <x:v>ENGINEERING_RULE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86" hidden="0" customHeight="1">
      <x:c r="A9" s="2"/>
      <x:c r="B9" s="15" t="str">
        <x:v>MIR-GLOBAL-1</x:v>
      </x:c>
      <x:c r="C9" s="15" t="str">
        <x:v>MIRRORED_5 alt yorumu</x:v>
      </x:c>
      <x:c r="D9" s="15" t="n">
        <x:v>1</x:v>
      </x:c>
      <x:c r="E9" s="15" t="str">
        <x:v>Tek TX'i beş TTL ve beş RS-232 fiziksel çıkışa mantık tarafında fan-out</x:v>
      </x:c>
      <x:c r="F9" s="15" t="str">
        <x:v>Tek mantıksal kaynak, on fiziksel çıkış</x:v>
      </x:c>
      <x:c r="G9" s="15" t="str">
        <x:v>BLOCKED</x:v>
      </x:c>
      <x:c r="H9" s="15" t="str">
        <x:v>En düşük mantıksal kanal sayısı</x:v>
      </x:c>
      <x:c r="I9" s="15" t="str">
        <x:v>Kaynakta tüm on çıkışın aynı payload/baud/framing olduğu yazmıyorsa reddet</x:v>
      </x:c>
      <x:c r="J9" s="15" t="str">
        <x:v>Açık müşteri cümlesi ve elektriksel fan-out doğrulaması</x:v>
      </x:c>
      <x:c r="K9" s="15" t="str">
        <x:v>ASSUMPTION + ENGINEERING_RULE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86" hidden="0" customHeight="1">
      <x:c r="A10" s="2"/>
      <x:c r="B10" s="15" t="str">
        <x:v>IND-EXT-1</x:v>
      </x:c>
      <x:c r="C10" s="15" t="str">
        <x:v>INDEPENDENT_10</x:v>
      </x:c>
      <x:c r="D10" s="15" t="n">
        <x:v>10</x:v>
      </x:c>
      <x:c r="E10" s="15" t="str">
        <x:v>Seri veri yollu harici çoklu-UART bridge + beş RS-232 sürücüsü</x:v>
      </x:c>
      <x:c r="F10" s="15" t="str">
        <x:v>2 quad + 1 dual = 10 veya 3 quad = 12</x:v>
      </x:c>
      <x:c r="G10" s="15" t="str">
        <x:v>BLOCKED</x:v>
      </x:c>
      <x:c r="H10" s="15" t="str">
        <x:v>On bağımsız akış için sayılabilir donanım kanalları</x:v>
      </x:c>
      <x:c r="I10" s="15" t="str">
        <x:v>SPI/I²C bant genişliği, CS/adres/IRQ, GPIO ve güç kapanmazsa reddet</x:v>
      </x:c>
      <x:c r="J10" s="15" t="str">
        <x:v>Eşzamanlı yük modeli; exact-part; sürücü; boot/fault/bench</x:v>
      </x:c>
      <x:c r="K10" s="15" t="str">
        <x:v>SOURCE_EXPLICIT + DERIVED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86" hidden="0" customHeight="1">
      <x:c r="A11" s="2"/>
      <x:c r="B11" s="15" t="str">
        <x:v>IND-INT-1</x:v>
      </x:c>
      <x:c r="C11" s="15" t="str">
        <x:v>INDEPENDENT_10</x:v>
      </x:c>
      <x:c r="D11" s="15" t="n">
        <x:v>10</x:v>
      </x:c>
      <x:c r="E11" s="15" t="str">
        <x:v>Yalnız ESP32-S3 iç çevre birimleri</x:v>
      </x:c>
      <x:c r="F11" s="15" t="str">
        <x:v>3 UART + 4 RMT TX = teorik 7; UART0 korunursa 6</x:v>
      </x:c>
      <x:c r="G11" s="15" t="str">
        <x:v>BLOCKED</x:v>
      </x:c>
      <x:c r="H11" s="15" t="str">
        <x:v>Ek BOM yok</x:v>
      </x:c>
      <x:c r="I11" s="15" t="str">
        <x:v>On eşzamanlı bağımsız TX sayısına ulaşamaz; RMT-UART ayrıca desteklenmiş özellik değil</x:v>
      </x:c>
      <x:c r="J11" s="15" t="str">
        <x:v>Bu gereksinim için iç-kaynak yolunu yeniden açacak yeni resmî donanım kanıtı</x:v>
      </x:c>
      <x:c r="K11" s="15" t="str">
        <x:v>SOURCE_EXPLICIT + DERIVED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86" hidden="0" customHeight="1">
      <x:c r="A12" s="2"/>
      <x:c r="B12" s="15" t="str">
        <x:v>IND-HELP-1</x:v>
      </x:c>
      <x:c r="C12" s="15" t="str">
        <x:v>INDEPENDENT_10</x:v>
      </x:c>
      <x:c r="D12" s="15" t="n">
        <x:v>10</x:v>
      </x:c>
      <x:c r="E12" s="15" t="str">
        <x:v>Helper MCU veya FPGA + ayrı TTL/RS-232 fiziksel katman</x:v>
      </x:c>
      <x:c r="F12" s="15" t="str">
        <x:v>Yardımcı aygıta bağlı</x:v>
      </x:c>
      <x:c r="G12" s="15" t="str">
        <x:v>UNKNOWN</x:v>
      </x:c>
      <x:c r="H12" s="15" t="str">
        <x:v>On akışın üretimi ve tamponlanması ayrıştırılabilir</x:v>
      </x:c>
      <x:c r="I12" s="15" t="str">
        <x:v>Karmaşıklık, saat, güncelleme, hata izolasyonu veya güç kabul edilmezse reddet</x:v>
      </x:c>
      <x:c r="J12" s="15" t="str">
        <x:v>Detaylı protokol, kapasite, güvenli başlatma ve bench kanıtı</x:v>
      </x:c>
      <x:c r="K12" s="15" t="str">
        <x:v>ENGINEERING_RULE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K2"/>
    <x:mergeCell ref="B3:K3"/>
  </x:mergeCells>
  <x:conditionalFormatting sqref="G6:G12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139e08972d384f45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UART Kanal Kapasitesi · Türetilmiş Senaryolar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Aritmetik, harici bridge kanallarını muhafazakâr biçimde sayar; ESP32-S3 iç UART'ları kullanılabilirlik kararı olmadığı için kredilendirilmez.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Gerekli bağımsız TX</x:v>
      </x:c>
      <x:c r="D5" s="52" t="str">
        <x:v>Quad aygıt</x:v>
      </x:c>
      <x:c r="E5" s="52" t="str">
        <x:v>Dual aygıt</x:v>
      </x:c>
      <x:c r="F5" s="52" t="str">
        <x:v>Toplam kanal</x:v>
      </x:c>
      <x:c r="G5" s="52" t="str">
        <x:v>Kullanılmayan</x:v>
      </x:c>
      <x:c r="H5" s="52" t="str">
        <x:v>Aygıt sayısı</x:v>
      </x:c>
      <x:c r="I5" s="52" t="str">
        <x:v>Durum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hidden="0" customHeight="1">
      <x:c r="A6" s="2"/>
      <x:c r="B6" s="15" t="str">
        <x:v>CAP-5-QD</x:v>
      </x:c>
      <x:c r="C6" s="15" t="n">
        <x:v>5</x:v>
      </x:c>
      <x:c r="D6" s="15" t="n">
        <x:v>1</x:v>
      </x:c>
      <x:c r="E6" s="15" t="n">
        <x:v>1</x:v>
      </x:c>
      <x:c r="F6" s="15" t="n">
        <x:f>D6*4+E6*2</x:f>
        <x:v>6</x:v>
      </x:c>
      <x:c r="G6" s="15" t="n">
        <x:f>F6-C6</x:f>
        <x:v>1</x:v>
      </x:c>
      <x:c r="H6" s="15" t="n">
        <x:f>D6+E6</x:f>
        <x:v>2</x:v>
      </x:c>
      <x:c r="I6" s="15" t="str">
        <x:v>UNKNOWN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hidden="0" customHeight="1">
      <x:c r="A7" s="2"/>
      <x:c r="B7" s="15" t="str">
        <x:v>CAP-5-QQ</x:v>
      </x:c>
      <x:c r="C7" s="15" t="n">
        <x:v>5</x:v>
      </x:c>
      <x:c r="D7" s="15" t="n">
        <x:v>2</x:v>
      </x:c>
      <x:c r="E7" s="15" t="n">
        <x:v>0</x:v>
      </x:c>
      <x:c r="F7" s="15" t="n">
        <x:f>D7*4+E7*2</x:f>
        <x:v>8</x:v>
      </x:c>
      <x:c r="G7" s="15" t="n">
        <x:f>F7-C7</x:f>
        <x:v>3</x:v>
      </x:c>
      <x:c r="H7" s="15" t="n">
        <x:f>D7+E7</x:f>
        <x:v>2</x:v>
      </x:c>
      <x:c r="I7" s="15" t="str">
        <x:v>UNKNOWN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hidden="0" customHeight="1">
      <x:c r="A8" s="2"/>
      <x:c r="B8" s="15" t="str">
        <x:v>CAP-5-DDD</x:v>
      </x:c>
      <x:c r="C8" s="15" t="n">
        <x:v>5</x:v>
      </x:c>
      <x:c r="D8" s="15" t="n">
        <x:v>0</x:v>
      </x:c>
      <x:c r="E8" s="15" t="n">
        <x:v>3</x:v>
      </x:c>
      <x:c r="F8" s="15" t="n">
        <x:f>D8*4+E8*2</x:f>
        <x:v>6</x:v>
      </x:c>
      <x:c r="G8" s="15" t="n">
        <x:f>F8-C8</x:f>
        <x:v>1</x:v>
      </x:c>
      <x:c r="H8" s="15" t="n">
        <x:f>D8+E8</x:f>
        <x:v>3</x:v>
      </x:c>
      <x:c r="I8" s="15" t="str">
        <x:v>UNKNOWN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hidden="0" customHeight="1">
      <x:c r="A9" s="2"/>
      <x:c r="B9" s="15" t="str">
        <x:v>CAP-10-QQD</x:v>
      </x:c>
      <x:c r="C9" s="15" t="n">
        <x:v>10</x:v>
      </x:c>
      <x:c r="D9" s="15" t="n">
        <x:v>2</x:v>
      </x:c>
      <x:c r="E9" s="15" t="n">
        <x:v>1</x:v>
      </x:c>
      <x:c r="F9" s="15" t="n">
        <x:f>D9*4+E9*2</x:f>
        <x:v>10</x:v>
      </x:c>
      <x:c r="G9" s="15" t="n">
        <x:f>F9-C9</x:f>
        <x:v>0</x:v>
      </x:c>
      <x:c r="H9" s="15" t="n">
        <x:f>D9+E9</x:f>
        <x:v>3</x:v>
      </x:c>
      <x:c r="I9" s="15" t="str">
        <x:v>UNKNOWN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hidden="0" customHeight="1">
      <x:c r="A10" s="2"/>
      <x:c r="B10" s="15" t="str">
        <x:v>CAP-10-QQQ</x:v>
      </x:c>
      <x:c r="C10" s="15" t="n">
        <x:v>10</x:v>
      </x:c>
      <x:c r="D10" s="15" t="n">
        <x:v>3</x:v>
      </x:c>
      <x:c r="E10" s="15" t="n">
        <x:v>0</x:v>
      </x:c>
      <x:c r="F10" s="15" t="n">
        <x:f>D10*4+E10*2</x:f>
        <x:v>12</x:v>
      </x:c>
      <x:c r="G10" s="15" t="n">
        <x:f>F10-C10</x:f>
        <x:v>2</x:v>
      </x:c>
      <x:c r="H10" s="15" t="n">
        <x:f>D10+E10</x:f>
        <x:v>3</x:v>
      </x:c>
      <x:c r="I10" s="15" t="str">
        <x:v>UNKNOWN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hidden="0" customHeight="1">
      <x:c r="A11" s="2"/>
      <x:c r="B11" s="15" t="str">
        <x:v>CAP-10-QDDD</x:v>
      </x:c>
      <x:c r="C11" s="15" t="n">
        <x:v>10</x:v>
      </x:c>
      <x:c r="D11" s="15" t="n">
        <x:v>1</x:v>
      </x:c>
      <x:c r="E11" s="15" t="n">
        <x:v>3</x:v>
      </x:c>
      <x:c r="F11" s="15" t="n">
        <x:f>D11*4+E11*2</x:f>
        <x:v>10</x:v>
      </x:c>
      <x:c r="G11" s="15" t="n">
        <x:f>F11-C11</x:f>
        <x:v>0</x:v>
      </x:c>
      <x:c r="H11" s="15" t="n">
        <x:f>D11+E11</x:f>
        <x:v>4</x:v>
      </x:c>
      <x:c r="I11" s="15" t="str">
        <x:v>UNKNOWN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hidden="0" customHeight="1">
      <x:c r="A12" s="2"/>
      <x:c r="B12" s="15" t="str">
        <x:v>CAP-10-DDDDD</x:v>
      </x:c>
      <x:c r="C12" s="15" t="n">
        <x:v>10</x:v>
      </x:c>
      <x:c r="D12" s="15" t="n">
        <x:v>0</x:v>
      </x:c>
      <x:c r="E12" s="15" t="n">
        <x:v>5</x:v>
      </x:c>
      <x:c r="F12" s="15" t="n">
        <x:f>D12*4+E12*2</x:f>
        <x:v>10</x:v>
      </x:c>
      <x:c r="G12" s="15" t="n">
        <x:f>F12-C12</x:f>
        <x:v>0</x:v>
      </x:c>
      <x:c r="H12" s="15" t="n">
        <x:f>D12+E12</x:f>
        <x:v>5</x:v>
      </x:c>
      <x:c r="I12" s="15" t="str">
        <x:v>UNKNOWN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İç kaynak üst sınırı · araştırma notu</x:v>
      </x:c>
      <x:c r="C14" s="19"/>
      <x:c r="D14" s="19"/>
      <x:c r="E14" s="19"/>
      <x:c r="F14" s="19"/>
      <x:c r="G14" s="19"/>
      <x:c r="H14" s="19"/>
      <x:c r="I14" s="19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52" t="str">
        <x:v>Senaryo</x:v>
      </x:c>
      <x:c r="C16" s="52" t="str">
        <x:v>Donanım UART</x:v>
      </x:c>
      <x:c r="D16" s="52" t="str">
        <x:v>RMT-TX</x:v>
      </x:c>
      <x:c r="E16" s="52" t="str">
        <x:v>Teorik toplam</x:v>
      </x:c>
      <x:c r="F16" s="52" t="str">
        <x:v>Karar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72" hidden="0" customHeight="1">
      <x:c r="A17" s="2"/>
      <x:c r="B17" s="15" t="str">
        <x:v>UART0 dahil</x:v>
      </x:c>
      <x:c r="C17" s="15" t="n">
        <x:v>3</x:v>
      </x:c>
      <x:c r="D17" s="15" t="n">
        <x:v>4</x:v>
      </x:c>
      <x:c r="E17" s="15" t="n">
        <x:v>7</x:v>
      </x:c>
      <x:c r="F17" s="15" t="str">
        <x:v>10 bağımsız TX'i karşılamaz; RMT-UART ayrıca resmî özellik değil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2" hidden="0" customHeight="1">
      <x:c r="A18" s="2"/>
      <x:c r="B18" s="15" t="str">
        <x:v>UART0 kurtarma/log için ayrılmış</x:v>
      </x:c>
      <x:c r="C18" s="15" t="n">
        <x:v>2</x:v>
      </x:c>
      <x:c r="D18" s="15" t="n">
        <x:v>4</x:v>
      </x:c>
      <x:c r="E18" s="15" t="n">
        <x:v>6</x:v>
      </x:c>
      <x:c r="F18" s="15" t="str">
        <x:v>MIRRORED_5 için 2 HW + 3 RMT sayısal prototip; INDEPENDENT_10'u karşılamaz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14:I14"/>
  </x:mergeCells>
  <x:conditionalFormatting sqref="I6:I12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b2eabc4c25be423d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23" hidden="0" customWidth="1"/>
    <x:col min="5" max="5" width="17" hidden="0" customWidth="1"/>
    <x:col min="6" max="6" width="26" hidden="0" customWidth="1"/>
    <x:col min="7" max="7" width="31" hidden="0" customWidth="1"/>
    <x:col min="8" max="8" width="28" hidden="0" customWidth="1"/>
    <x:col min="9" max="9" width="25" hidden="0" customWidth="1"/>
    <x:col min="10" max="10" width="48" hidden="0" customWidth="1"/>
    <x:col min="11" max="11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Aday Bileşen ve Çevre Birimi Aileleri</x:v>
      </x:c>
      <x:c r="C2" s="6"/>
      <x:c r="D2" s="6"/>
      <x:c r="E2" s="6"/>
      <x:c r="F2" s="6"/>
      <x:c r="G2" s="6"/>
      <x:c r="H2" s="6"/>
      <x:c r="I2" s="6"/>
      <x:c r="J2" s="6"/>
      <x:c r="K2" s="6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Ürün/family satırları exact-part seçimi değildir. Tam sipariş kodu, yaşam döngüsü, paket, gerilim, güç ve yük doğrulaması G2'de yapılmalıdır.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Aile / çevre birimi</x:v>
      </x:c>
      <x:c r="D5" s="52" t="str">
        <x:v>Sınıf</x:v>
      </x:c>
      <x:c r="E5" s="52" t="str">
        <x:v>Kanal</x:v>
      </x:c>
      <x:c r="F5" s="52" t="str">
        <x:v>Host / kontrol</x:v>
      </x:c>
      <x:c r="G5" s="52" t="str">
        <x:v>FIFO / hız notu</x:v>
      </x:c>
      <x:c r="H5" s="52" t="str">
        <x:v>Besleme sınıfı</x:v>
      </x:c>
      <x:c r="I5" s="52" t="str">
        <x:v>Yaşam döngüsü</x:v>
      </x:c>
      <x:c r="J5" s="52" t="str">
        <x:v>Ana sınırlama</x:v>
      </x:c>
      <x:c r="K5" s="52" t="str">
        <x:v>Durum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6" hidden="0" customHeight="1">
      <x:c r="A6" s="2"/>
      <x:c r="B6" s="15" t="str">
        <x:v>C-UART-01</x:v>
      </x:c>
      <x:c r="C6" s="15" t="str">
        <x:v>ESP32-S3 UART0/1/2</x:v>
      </x:c>
      <x:c r="D6" s="15" t="str">
        <x:v>Yerel UART</x:v>
      </x:c>
      <x:c r="E6" s="15" t="str">
        <x:v>3 UART</x:v>
      </x:c>
      <x:c r="F6" s="15" t="str">
        <x:v>Dahili</x:v>
      </x:c>
      <x:c r="G6" s="15" t="str">
        <x:v>Bağımsız framing; veri sayfasında azami 5 Mbps</x:v>
      </x:c>
      <x:c r="H6" s="15" t="str">
        <x:v>ESP32-S3 alanı</x:v>
      </x:c>
      <x:c r="I6" s="15" t="str">
        <x:v>Mevcut silikon özelliği</x:v>
      </x:c>
      <x:c r="J6" s="15" t="str">
        <x:v>UART0 GPIO43/44 kurtarma/log için rezervli; üç kanal 5 veya 10'u tek başına karşılamaz</x:v>
      </x:c>
      <x:c r="K6" s="15" t="str">
        <x:v>BLOCKED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6" hidden="0" customHeight="1">
      <x:c r="A7" s="2"/>
      <x:c r="B7" s="15" t="str">
        <x:v>C-RMT-01</x:v>
      </x:c>
      <x:c r="C7" s="15" t="str">
        <x:v>ESP32-S3 RMT</x:v>
      </x:c>
      <x:c r="D7" s="15" t="str">
        <x:v>Genel dalga üretimi</x:v>
      </x:c>
      <x:c r="E7" s="15" t="str">
        <x:v>4 TX + 4 RX</x:v>
      </x:c>
      <x:c r="F7" s="15" t="str">
        <x:v>Dahili</x:v>
      </x:c>
      <x:c r="G7" s="15" t="str">
        <x:v>384×32-bit ortak RAM; yalnız TX3/RX7 DMA</x:v>
      </x:c>
      <x:c r="H7" s="15" t="str">
        <x:v>ESP32-S3 alanı</x:v>
      </x:c>
      <x:c r="I7" s="15" t="str">
        <x:v>Mevcut silikon özelliği</x:v>
      </x:c>
      <x:c r="J7" s="15" t="str">
        <x:v>RMT-as-UART yayımlanmış ESP-IDF özelliği değil; özel encoder ve stres testi gerekir</x:v>
      </x:c>
      <x:c r="K7" s="15" t="str">
        <x:v>NOT_RUN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6" hidden="0" customHeight="1">
      <x:c r="A8" s="2"/>
      <x:c r="B8" s="15" t="str">
        <x:v>C-BRG-01</x:v>
      </x:c>
      <x:c r="C8" s="15" t="str">
        <x:v>NXP SC16IS752 / SC16IS762</x:v>
      </x:c>
      <x:c r="D8" s="15" t="str">
        <x:v>Dual UART bridge</x:v>
      </x:c>
      <x:c r="E8" s="15" t="str">
        <x:v>2 UART</x:v>
      </x:c>
      <x:c r="F8" s="15" t="str">
        <x:v>I²C veya SPI</x:v>
      </x:c>
      <x:c r="G8" s="15" t="str">
        <x:v>64 B TX + 64 B RX / kanal</x:v>
      </x:c>
      <x:c r="H8" s="15" t="str">
        <x:v>2.3–2.7 V veya 3.0–3.6 V</x:v>
      </x:c>
      <x:c r="I8" s="15" t="str">
        <x:v>Aile Active; tam orderable yeniden kontrol</x:v>
      </x:c>
      <x:c r="J8" s="15" t="str">
        <x:v>Bus yükü, adres/CS/IRQ, exact orderable ve yazılım sürücüsü doğrulanmalı</x:v>
      </x:c>
      <x:c r="K8" s="15" t="str">
        <x:v>UNKNOWN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6" hidden="0" customHeight="1">
      <x:c r="A9" s="2"/>
      <x:c r="B9" s="15" t="str">
        <x:v>C-BRG-02</x:v>
      </x:c>
      <x:c r="C9" s="15" t="str">
        <x:v>ADI MAX3109</x:v>
      </x:c>
      <x:c r="D9" s="15" t="str">
        <x:v>Dual UART bridge</x:v>
      </x:c>
      <x:c r="E9" s="15" t="str">
        <x:v>2 UART</x:v>
      </x:c>
      <x:c r="F9" s="15" t="str">
        <x:v>SPI/MICROWIRE veya I²C</x:v>
      </x:c>
      <x:c r="G9" s="15" t="str">
        <x:v>128-word TX + 128-word RX / kanal</x:v>
      </x:c>
      <x:c r="H9" s="15" t="str">
        <x:v>1.71–3.6 V; PLL kısıtı veri sayfasında</x:v>
      </x:c>
      <x:c r="I9" s="15" t="str">
        <x:v>PRODUCTION</x:v>
      </x:c>
      <x:c r="J9" s="15" t="str">
        <x:v>Bus yükü, saat, IRQ ve exact part doğrulanmalı</x:v>
      </x:c>
      <x:c r="K9" s="15" t="str">
        <x:v>UNKNOWN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6" hidden="0" customHeight="1">
      <x:c r="A10" s="2"/>
      <x:c r="B10" s="15" t="str">
        <x:v>C-BRG-03</x:v>
      </x:c>
      <x:c r="C10" s="15" t="str">
        <x:v>ADI MAX14830</x:v>
      </x:c>
      <x:c r="D10" s="15" t="str">
        <x:v>Quad UART bridge</x:v>
      </x:c>
      <x:c r="E10" s="15" t="str">
        <x:v>4 UART</x:v>
      </x:c>
      <x:c r="F10" s="15" t="str">
        <x:v>SPI/MICROWIRE veya I²C</x:v>
      </x:c>
      <x:c r="G10" s="15" t="str">
        <x:v>128-word TX + 128-word RX / kanal</x:v>
      </x:c>
      <x:c r="H10" s="15" t="str">
        <x:v>VA 2.35–3.6 V; VL/VEXT 1.71–3.6 V</x:v>
      </x:c>
      <x:c r="I10" s="15" t="str">
        <x:v>PRODUCTION</x:v>
      </x:c>
      <x:c r="J10" s="15" t="str">
        <x:v>Bus yükü, adres/CS/IRQ, saat ve exact part doğrulanmalı</x:v>
      </x:c>
      <x:c r="K10" s="15" t="str">
        <x:v>UNKNOWN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6" hidden="0" customHeight="1">
      <x:c r="A11" s="2"/>
      <x:c r="B11" s="15" t="str">
        <x:v>C-BRG-04</x:v>
      </x:c>
      <x:c r="C11" s="15" t="str">
        <x:v>MaxLinear XR16L784</x:v>
      </x:c>
      <x:c r="D11" s="15" t="str">
        <x:v>Quad UART bridge</x:v>
      </x:c>
      <x:c r="E11" s="15" t="str">
        <x:v>4 UART</x:v>
      </x:c>
      <x:c r="F11" s="15" t="str">
        <x:v>8-bit paralel Intel/Motorola</x:v>
      </x:c>
      <x:c r="G11" s="15" t="str">
        <x:v>64 B TX + 64 B RX / kanal</x:v>
      </x:c>
      <x:c r="H11" s="15" t="str">
        <x:v>2.97–5.5 V</x:v>
      </x:c>
      <x:c r="I11" s="15" t="str">
        <x:v>Orderable bazında Active/OBS karışık</x:v>
      </x:c>
      <x:c r="J11" s="15" t="str">
        <x:v>Paralel veri yolu GPIO bütçesi ve paket yaşam döngüsü</x:v>
      </x:c>
      <x:c r="K11" s="15" t="str">
        <x:v>UNKNOWN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6" hidden="0" customHeight="1">
      <x:c r="A12" s="2"/>
      <x:c r="B12" s="15" t="str">
        <x:v>C-BRG-05</x:v>
      </x:c>
      <x:c r="C12" s="15" t="str">
        <x:v>TI TL16C754C</x:v>
      </x:c>
      <x:c r="D12" s="15" t="str">
        <x:v>Quad UART bridge</x:v>
      </x:c>
      <x:c r="E12" s="15" t="str">
        <x:v>4 UART</x:v>
      </x:c>
      <x:c r="F12" s="15" t="str">
        <x:v>8-bit paralel çevrebirim</x:v>
      </x:c>
      <x:c r="G12" s="15" t="str">
        <x:v>64 B TX + 64 B RX / kanal</x:v>
      </x:c>
      <x:c r="H12" s="15" t="str">
        <x:v>1.8 / 2.5 / 3.3 / 5 V sınıfları</x:v>
      </x:c>
      <x:c r="I12" s="15" t="str">
        <x:v>ACTIVE</x:v>
      </x:c>
      <x:c r="J12" s="15" t="str">
        <x:v>Paralel veri yolu GPIO bütçesi ve sürücü entegrasyonu</x:v>
      </x:c>
      <x:c r="K12" s="15" t="str">
        <x:v>UNKNOWN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6" hidden="0" customHeight="1">
      <x:c r="A13" s="2"/>
      <x:c r="B13" s="15" t="str">
        <x:v>C-BRG-06</x:v>
      </x:c>
      <x:c r="C13" s="15" t="str">
        <x:v>MaxLinear XR20M1172</x:v>
      </x:c>
      <x:c r="D13" s="15" t="str">
        <x:v>Dual UART bridge</x:v>
      </x:c>
      <x:c r="E13" s="15" t="str">
        <x:v>2 UART</x:v>
      </x:c>
      <x:c r="F13" s="15" t="str">
        <x:v>I²C veya SPI</x:v>
      </x:c>
      <x:c r="G13" s="15" t="str">
        <x:v>64 B TX + 64 B RX</x:v>
      </x:c>
      <x:c r="H13" s="15" t="str">
        <x:v>1.62–3.63 V</x:v>
      </x:c>
      <x:c r="I13" s="15" t="str">
        <x:v>OBS; üretim/sipariş sona ermiş</x:v>
      </x:c>
      <x:c r="J13" s="15" t="str">
        <x:v>Yeni tasarım için yaşam döngüsü uygun değil</x:v>
      </x:c>
      <x:c r="K13" s="15" t="str">
        <x:v>BLOCKED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6" hidden="0" customHeight="1">
      <x:c r="A14" s="2"/>
      <x:c r="B14" s="15" t="str">
        <x:v>C-RS-01</x:v>
      </x:c>
      <x:c r="C14" s="15" t="str">
        <x:v>TI MAX3237E</x:v>
      </x:c>
      <x:c r="D14" s="15" t="str">
        <x:v>RS-232 5T/3R</x:v>
      </x:c>
      <x:c r="E14" s="15" t="str">
        <x:v>5 driver / 3 receiver</x:v>
      </x:c>
      <x:c r="F14" s="15" t="str">
        <x:v>SHDN / EN</x:v>
      </x:c>
      <x:c r="G14" s="15" t="str">
        <x:v>250 kbps veya 1 Mbps modu</x:v>
      </x:c>
      <x:c r="H14" s="15" t="str">
        <x:v>3–5.5 V</x:v>
      </x:c>
      <x:c r="I14" s="15" t="str">
        <x:v>ACTIVE</x:v>
      </x:c>
      <x:c r="J14" s="15" t="str">
        <x:v>Baud, boot/idle, always-active receiver ve power-off davranışı doğrulanmalı</x:v>
      </x:c>
      <x:c r="K14" s="15" t="str">
        <x:v>UNKNOWN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6" hidden="0" customHeight="1">
      <x:c r="A15" s="2"/>
      <x:c r="B15" s="15" t="str">
        <x:v>C-RS-02</x:v>
      </x:c>
      <x:c r="C15" s="15" t="str">
        <x:v>TI TRS3238E / TRSF3238E</x:v>
      </x:c>
      <x:c r="D15" s="15" t="str">
        <x:v>RS-232 5T/3R</x:v>
      </x:c>
      <x:c r="E15" s="15" t="str">
        <x:v>5 driver / 3 receiver</x:v>
      </x:c>
      <x:c r="F15" s="15" t="str">
        <x:v>FORCEON / FORCEOFF</x:v>
      </x:c>
      <x:c r="G15" s="15" t="str">
        <x:v>400 kbps / 1 Mbps aile seçenekleri</x:v>
      </x:c>
      <x:c r="H15" s="15" t="str">
        <x:v>3–5.5 V</x:v>
      </x:c>
      <x:c r="I15" s="15" t="str">
        <x:v>ACTIVE</x:v>
      </x:c>
      <x:c r="J15" s="15" t="str">
        <x:v>Auto-powerdown, wake gecikmesi ve ilk karakter bütünlüğü test edilmeli</x:v>
      </x:c>
      <x:c r="K15" s="15" t="str">
        <x:v>UNKNOWN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6" hidden="0" customHeight="1">
      <x:c r="A16" s="2"/>
      <x:c r="B16" s="15" t="str">
        <x:v>C-RS-03</x:v>
      </x:c>
      <x:c r="C16" s="15" t="str">
        <x:v>ADI MAX3238E / MAX3248E</x:v>
      </x:c>
      <x:c r="D16" s="15" t="str">
        <x:v>RS-232 5T/3R</x:v>
      </x:c>
      <x:c r="E16" s="15" t="str">
        <x:v>5 driver / 3 receiver</x:v>
      </x:c>
      <x:c r="F16" s="15" t="str">
        <x:v>FORCEOFF / FORCEON</x:v>
      </x:c>
      <x:c r="G16" s="15" t="str">
        <x:v>250 kbps; shutdown davranışı açık</x:v>
      </x:c>
      <x:c r="H16" s="15" t="str">
        <x:v>3–5.5 V</x:v>
      </x:c>
      <x:c r="I16" s="15" t="str">
        <x:v>PRODUCTION</x:v>
      </x:c>
      <x:c r="J16" s="15" t="str">
        <x:v>TIN Hi-Z son seviyeyi tutabilir; boot/idle ve wake testi gerekir</x:v>
      </x:c>
      <x:c r="K16" s="15" t="str">
        <x:v>UNKNOWN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6" hidden="0" customHeight="1">
      <x:c r="A17" s="2"/>
      <x:c r="B17" s="15" t="str">
        <x:v>C-RS-04</x:v>
      </x:c>
      <x:c r="C17" s="15" t="str">
        <x:v>ADI ADM3307E</x:v>
      </x:c>
      <x:c r="D17" s="15" t="str">
        <x:v>RS-232 5T/3R</x:v>
      </x:c>
      <x:c r="E17" s="15" t="str">
        <x:v>5 driver / 3 receiver</x:v>
      </x:c>
      <x:c r="F17" s="15" t="str">
        <x:v>SD / EN</x:v>
      </x:c>
      <x:c r="G17" s="15" t="str">
        <x:v>460 kbps sınıfı</x:v>
      </x:c>
      <x:c r="H17" s="15" t="str">
        <x:v>2.7–3.6 V</x:v>
      </x:c>
      <x:c r="I17" s="15" t="str">
        <x:v>PRODUCTION</x:v>
      </x:c>
      <x:c r="J17" s="15" t="str">
        <x:v>Disabled TX three-state değildir; RS-232 çıkışları paralellenemez</x:v>
      </x:c>
      <x:c r="K17" s="15" t="str">
        <x:v>UNKNOWN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6" hidden="0" customHeight="1">
      <x:c r="A18" s="2"/>
      <x:c r="B18" s="15" t="str">
        <x:v>C-RS-05</x:v>
      </x:c>
      <x:c r="C18" s="15" t="str">
        <x:v>ADI ADM207E</x:v>
      </x:c>
      <x:c r="D18" s="15" t="str">
        <x:v>RS-232 5T/3R</x:v>
      </x:c>
      <x:c r="E18" s="15" t="str">
        <x:v>5 driver / 3 receiver</x:v>
      </x:c>
      <x:c r="F18" s="15" t="str">
        <x:v>Kontrol pini yok</x:v>
      </x:c>
      <x:c r="G18" s="15" t="str">
        <x:v>230 kbps</x:v>
      </x:c>
      <x:c r="H18" s="15" t="str">
        <x:v>5 V</x:v>
      </x:c>
      <x:c r="I18" s="15" t="str">
        <x:v>PRODUCTION</x:v>
      </x:c>
      <x:c r="J18" s="15" t="str">
        <x:v>Boot-disable zorunluysa uygun olmayabilir</x:v>
      </x:c>
      <x:c r="K18" s="15" t="str">
        <x:v>UNKNOWN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6" hidden="0" customHeight="1">
      <x:c r="A19" s="2"/>
      <x:c r="B19" s="15" t="str">
        <x:v>C-RS-06</x:v>
      </x:c>
      <x:c r="C19" s="15" t="str">
        <x:v>TI TRS3232E / TRSF3232E</x:v>
      </x:c>
      <x:c r="D19" s="15" t="str">
        <x:v>RS-232 2T/2R</x:v>
      </x:c>
      <x:c r="E19" s="15" t="str">
        <x:v>2 driver / 2 receiver</x:v>
      </x:c>
      <x:c r="F19" s="15" t="str">
        <x:v>Kontrol pini yok</x:v>
      </x:c>
      <x:c r="G19" s="15" t="str">
        <x:v>250 kbps / 1 Mbps</x:v>
      </x:c>
      <x:c r="H19" s="15" t="str">
        <x:v>3–5.5 V</x:v>
      </x:c>
      <x:c r="I19" s="15" t="str">
        <x:v>ACTIVE</x:v>
      </x:c>
      <x:c r="J19" s="15" t="str">
        <x:v>Beş TX için üç paket; alan, güç ve kapasitör maliyeti artar</x:v>
      </x:c>
      <x:c r="K19" s="15" t="str">
        <x:v>UNKNOWN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6" hidden="0" customHeight="1">
      <x:c r="A20" s="2"/>
      <x:c r="B20" s="15" t="str">
        <x:v>C-ISO-01</x:v>
      </x:c>
      <x:c r="C20" s="15" t="str">
        <x:v>ADI ADM3251E</x:v>
      </x:c>
      <x:c r="D20" s="15" t="str">
        <x:v>İzole RS-232 1T/1R</x:v>
      </x:c>
      <x:c r="E20" s="15" t="str">
        <x:v>1 driver / 1 receiver</x:v>
      </x:c>
      <x:c r="F20" s="15" t="str">
        <x:v>Dahili izolasyon</x:v>
      </x:c>
      <x:c r="G20" s="15" t="str">
        <x:v>Aile veri sayfasına bağlı</x:v>
      </x:c>
      <x:c r="H20" s="15" t="str">
        <x:v>Aile veri sayfasına bağlı</x:v>
      </x:c>
      <x:c r="I20" s="15" t="str">
        <x:v>PRODUCTION</x:v>
      </x:c>
      <x:c r="J20" s="15" t="str">
        <x:v>Yalnız galvanik izolasyon gereksinimi varsa; beş port için beş aygıt</x:v>
      </x:c>
      <x:c r="K20" s="15" t="str">
        <x:v>UNKNOWN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6" hidden="0" customHeight="1">
      <x:c r="A21" s="2"/>
      <x:c r="B21" s="15" t="str">
        <x:v>C-BUF-01</x:v>
      </x:c>
      <x:c r="C21" s="15" t="str">
        <x:v>Nexperia 74LVC541A</x:v>
      </x:c>
      <x:c r="D21" s="15" t="str">
        <x:v>8-bit logic buffer</x:v>
      </x:c>
      <x:c r="E21" s="15" t="str">
        <x:v>8 çıkış</x:v>
      </x:c>
      <x:c r="F21" s="15" t="str">
        <x:v>OE</x:v>
      </x:c>
      <x:c r="G21" s="15" t="str">
        <x:v>3-state; Ioff</x:v>
      </x:c>
      <x:c r="H21" s="15" t="str">
        <x:v>1.2–3.6 V</x:v>
      </x:c>
      <x:c r="I21" s="15" t="str">
        <x:v>Üretici ürün sayfası</x:v>
      </x:c>
      <x:c r="J21" s="15" t="str">
        <x:v>5 V TTL çıkışı olduğu varsayılamaz; hedef elektrik seviyesi kapanmalı</x:v>
      </x:c>
      <x:c r="K21" s="15" t="str">
        <x:v>UNKNOWN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6" hidden="0" customHeight="1">
      <x:c r="A22" s="2"/>
      <x:c r="B22" s="15" t="str">
        <x:v>C-BUF-02</x:v>
      </x:c>
      <x:c r="C22" s="15" t="str">
        <x:v>TI SN74AXC8T245</x:v>
      </x:c>
      <x:c r="D22" s="15" t="str">
        <x:v>8-bit dual-supply translator</x:v>
      </x:c>
      <x:c r="E22" s="15" t="str">
        <x:v>8 bit</x:v>
      </x:c>
      <x:c r="F22" s="15" t="str">
        <x:v>OE / DIR</x:v>
      </x:c>
      <x:c r="G22" s="15" t="str">
        <x:v>Ioff ve power-off isolation</x:v>
      </x:c>
      <x:c r="H22" s="15" t="str">
        <x:v>0.65–3.6 V sınıfı</x:v>
      </x:c>
      <x:c r="I22" s="15" t="str">
        <x:v>ACTIVE</x:v>
      </x:c>
      <x:c r="J22" s="15" t="str">
        <x:v>TTL seviyesi, yön ve power sequencing kapanmadan exact-part seçilemez</x:v>
      </x:c>
      <x:c r="K22" s="15" t="str">
        <x:v>UNKNOWN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K2"/>
    <x:mergeCell ref="B3:K3"/>
  </x:mergeCells>
  <x:conditionalFormatting sqref="K6:K2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ea05a8a560f346c1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33" hidden="0" customWidth="1"/>
    <x:col min="4" max="4" width="39" hidden="0" customWidth="1"/>
    <x:col min="5" max="5" width="35" hidden="0" customWidth="1"/>
    <x:col min="6" max="6" width="42" hidden="0" customWidth="1"/>
    <x:col min="7" max="7" width="13" hidden="0" customWidth="1"/>
    <x:col min="8" max="8" width="24" hidden="0" customWidth="1"/>
    <x:col min="9" max="9" width="14" hidden="0" customWidth="1"/>
    <x:col min="10" max="10" width="35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Doğrulama Planı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Kaynakta sayısal eşik bulunmayan alanlar UNKNOWN kalır. Fiziksel ve yazılımsal testler bu oturumda çalıştırılmadı.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Test ID</x:v>
      </x:c>
      <x:c r="C5" s="52" t="str">
        <x:v>Kapsam</x:v>
      </x:c>
      <x:c r="D5" s="52" t="str">
        <x:v>Yöntem / araç</x:v>
      </x:c>
      <x:c r="E5" s="52" t="str">
        <x:v>Gerekli girdi</x:v>
      </x:c>
      <x:c r="F5" s="52" t="str">
        <x:v>Kabul ölçütü</x:v>
      </x:c>
      <x:c r="G5" s="52" t="str">
        <x:v>Kapı</x:v>
      </x:c>
      <x:c r="H5" s="52" t="str">
        <x:v>Sahip</x:v>
      </x:c>
      <x:c r="I5" s="52" t="str">
        <x:v>Durum</x:v>
      </x:c>
      <x:c r="J5" s="52" t="str">
        <x:v>Kanıt çıktısı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4" hidden="0" customHeight="1">
      <x:c r="A6" s="2"/>
      <x:c r="B6" s="15" t="str">
        <x:v>V-REQ-01</x:v>
      </x:c>
      <x:c r="C6" s="15" t="str">
        <x:v>MIRRORED_5 / INDEPENDENT_10 anlamı</x:v>
      </x:c>
      <x:c r="D6" s="15" t="str">
        <x:v>Yetkili gereksinim kaydı incelemesi</x:v>
      </x:c>
      <x:c r="E6" s="15" t="str">
        <x:v>Akış haritası ve eşzamanlılık</x:v>
      </x:c>
      <x:c r="F6" s="15" t="str">
        <x:v>Tek dal + izlenebilir müşteri kanıtı</x:v>
      </x:c>
      <x:c r="G6" s="15" t="str">
        <x:v>G1</x:v>
      </x:c>
      <x:c r="H6" s="15" t="str">
        <x:v>Customer / Product Owner TBD</x:v>
      </x:c>
      <x:c r="I6" s="15" t="str">
        <x:v>BLOCKED</x:v>
      </x:c>
      <x:c r="J6" s="15" t="str">
        <x:v>Karar no + imza/tarih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4" hidden="0" customHeight="1">
      <x:c r="A7" s="2"/>
      <x:c r="B7" s="15" t="str">
        <x:v>V-MAP-01</x:v>
      </x:c>
      <x:c r="C7" s="15" t="str">
        <x:v>TTL_i ↔ RS232_i eşleme</x:v>
      </x:c>
      <x:c r="D7" s="15" t="str">
        <x:v>Kanal bazlı net/veri matrisi</x:v>
      </x:c>
      <x:c r="E7" s="15" t="str">
        <x:v>Eşleme ilişkisi</x:v>
      </x:c>
      <x:c r="F7" s="15" t="str">
        <x:v>Her fiziksel çıkışın mantıksal kaynağı tekil ve açık</x:v>
      </x:c>
      <x:c r="G7" s="15" t="str">
        <x:v>G1/G2</x:v>
      </x:c>
      <x:c r="H7" s="15" t="str">
        <x:v>Requirements + HW TBD</x:v>
      </x:c>
      <x:c r="I7" s="15" t="str">
        <x:v>BLOCKED</x:v>
      </x:c>
      <x:c r="J7" s="15" t="str">
        <x:v>Onaylı kanal matrisi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4" hidden="0" customHeight="1">
      <x:c r="A8" s="2"/>
      <x:c r="B8" s="15" t="str">
        <x:v>V-FW-01</x:v>
      </x:c>
      <x:c r="C8" s="15" t="str">
        <x:v>UART / bridge kaynak tahsisi</x:v>
      </x:c>
      <x:c r="D8" s="15" t="str">
        <x:v>Firmware mimari inceleme</x:v>
      </x:c>
      <x:c r="E8" s="15" t="str">
        <x:v>Baud/framing/eşzamanlılık</x:v>
      </x:c>
      <x:c r="F8" s="15" t="str">
        <x:v>Tüm zorunlu akışlar için atanmış kaynak; çakışma yok</x:v>
      </x:c>
      <x:c r="G8" s="15" t="str">
        <x:v>G2</x:v>
      </x:c>
      <x:c r="H8" s="15" t="str">
        <x:v>FW TBD</x:v>
      </x:c>
      <x:c r="I8" s="15" t="str">
        <x:v>BLOCKED</x:v>
      </x:c>
      <x:c r="J8" s="15" t="str">
        <x:v>Kaynak tahsis tablosu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4" hidden="0" customHeight="1">
      <x:c r="A9" s="2"/>
      <x:c r="B9" s="15" t="str">
        <x:v>V-BUS-01</x:v>
      </x:c>
      <x:c r="C9" s="15" t="str">
        <x:v>SPI/I²C kapasitesi</x:v>
      </x:c>
      <x:c r="D9" s="15" t="str">
        <x:v>Worst-case işlem ve bant genişliği bütçesi</x:v>
      </x:c>
      <x:c r="E9" s="15" t="str">
        <x:v>Burst, duty, gecikme, bus saati</x:v>
      </x:c>
      <x:c r="F9" s="15" t="str">
        <x:v>Sayısal eşik UNKNOWN; müşteri yükünü karşılamalı</x:v>
      </x:c>
      <x:c r="G9" s="15" t="str">
        <x:v>G2/G3</x:v>
      </x:c>
      <x:c r="H9" s="15" t="str">
        <x:v>FW + HW TBD</x:v>
      </x:c>
      <x:c r="I9" s="15" t="str">
        <x:v>NOT_RUN</x:v>
      </x:c>
      <x:c r="J9" s="15" t="str">
        <x:v>Hesap + logic-analyzer izi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4" hidden="0" customHeight="1">
      <x:c r="A10" s="2"/>
      <x:c r="B10" s="15" t="str">
        <x:v>V-RMT-01</x:v>
      </x:c>
      <x:c r="C10" s="15" t="str">
        <x:v>RMT-as-UART prototipi</x:v>
      </x:c>
      <x:c r="D10" s="15" t="str">
        <x:v>Logic analyzer; hedef ESP-IDF; kesme/yük stresi</x:v>
      </x:c>
      <x:c r="E10" s="15" t="str">
        <x:v>Baud/framing ve izinli hata</x:v>
      </x:c>
      <x:c r="F10" s="15" t="str">
        <x:v>Eşik UNKNOWN; tüm framing/parity ve yük koşulları kanıtlanmalı</x:v>
      </x:c>
      <x:c r="G10" s="15" t="str">
        <x:v>G2/G3</x:v>
      </x:c>
      <x:c r="H10" s="15" t="str">
        <x:v>FW + Test TBD</x:v>
      </x:c>
      <x:c r="I10" s="15" t="str">
        <x:v>NOT_RUN</x:v>
      </x:c>
      <x:c r="J10" s="15" t="str">
        <x:v>Firmware, test betiği, ham iz ve rapor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4" hidden="0" customHeight="1">
      <x:c r="A11" s="2"/>
      <x:c r="B11" s="15" t="str">
        <x:v>V-CONC-01</x:v>
      </x:c>
      <x:c r="C11" s="15" t="str">
        <x:v>Eşzamanlı TX yükü</x:v>
      </x:c>
      <x:c r="D11" s="15" t="str">
        <x:v>Tüm kanalları worst-case birlikte çalıştır</x:v>
      </x:c>
      <x:c r="E11" s="15" t="str">
        <x:v>Azami eşzamanlı akış ve duty</x:v>
      </x:c>
      <x:c r="F11" s="15" t="str">
        <x:v>Kayıp/underrun/gecikme eşiği UNKNOWN</x:v>
      </x:c>
      <x:c r="G11" s="15" t="str">
        <x:v>G3/G5</x:v>
      </x:c>
      <x:c r="H11" s="15" t="str">
        <x:v>FW + Test TBD</x:v>
      </x:c>
      <x:c r="I11" s="15" t="str">
        <x:v>NOT_RUN</x:v>
      </x:c>
      <x:c r="J11" s="15" t="str">
        <x:v>Ham log + zamanlama raporu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4" hidden="0" customHeight="1">
      <x:c r="A12" s="2"/>
      <x:c r="B12" s="15" t="str">
        <x:v>V-BOOT-01</x:v>
      </x:c>
      <x:c r="C12" s="15" t="str">
        <x:v>Boot / reset / brownout TX davranışı</x:v>
      </x:c>
      <x:c r="D12" s="15" t="str">
        <x:v>Osiloskop/logic analyzer</x:v>
      </x:c>
      <x:c r="E12" s="15" t="str">
        <x:v>İzinli idle/disable seviyesi ve süre</x:v>
      </x:c>
      <x:c r="F12" s="15" t="str">
        <x:v>Eşik UNKNOWN; konnektörde yasak darbe olmamalı</x:v>
      </x:c>
      <x:c r="G12" s="15" t="str">
        <x:v>G3/G5</x:v>
      </x:c>
      <x:c r="H12" s="15" t="str">
        <x:v>HW + Test TBD</x:v>
      </x:c>
      <x:c r="I12" s="15" t="str">
        <x:v>NOT_RUN</x:v>
      </x:c>
      <x:c r="J12" s="15" t="str">
        <x:v>Dalga biçimi + test koşulları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4" hidden="0" customHeight="1">
      <x:c r="A13" s="2"/>
      <x:c r="B13" s="15" t="str">
        <x:v>V-RS232-01</x:v>
      </x:c>
      <x:c r="C13" s="15" t="str">
        <x:v>RS-232 hat yükü ve kablo</x:v>
      </x:c>
      <x:c r="D13" s="15" t="str">
        <x:v>Osiloskop; hedef kablo/yük</x:v>
      </x:c>
      <x:c r="E13" s="15" t="str">
        <x:v>Kablo, yük, baud, DTE/DCE</x:v>
      </x:c>
      <x:c r="F13" s="15" t="str">
        <x:v>Seviye/kenar/hata eşiği UNKNOWN</x:v>
      </x:c>
      <x:c r="G13" s="15" t="str">
        <x:v>G3/G5</x:v>
      </x:c>
      <x:c r="H13" s="15" t="str">
        <x:v>HW + Test TBD</x:v>
      </x:c>
      <x:c r="I13" s="15" t="str">
        <x:v>NOT_RUN</x:v>
      </x:c>
      <x:c r="J13" s="15" t="str">
        <x:v>Dalga biçimi + BER/çerçeve sonucu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4" hidden="0" customHeight="1">
      <x:c r="A14" s="2"/>
      <x:c r="B14" s="15" t="str">
        <x:v>V-PWR-01</x:v>
      </x:c>
      <x:c r="C14" s="15" t="str">
        <x:v>Power-off / hot-plug / back-power</x:v>
      </x:c>
      <x:c r="D14" s="15" t="str">
        <x:v>Akım ve pin gerilimi ölçümü</x:v>
      </x:c>
      <x:c r="E14" s="15" t="str">
        <x:v>Güç sırası ve remote state</x:v>
      </x:c>
      <x:c r="F14" s="15" t="str">
        <x:v>İzin verilen akım/gerilim eşiği UNKNOWN</x:v>
      </x:c>
      <x:c r="G14" s="15" t="str">
        <x:v>G3/G5</x:v>
      </x:c>
      <x:c r="H14" s="15" t="str">
        <x:v>HW + Test TBD</x:v>
      </x:c>
      <x:c r="I14" s="15" t="str">
        <x:v>NOT_RUN</x:v>
      </x:c>
      <x:c r="J14" s="15" t="str">
        <x:v>Ölçüm kaydı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4" hidden="0" customHeight="1">
      <x:c r="A15" s="2"/>
      <x:c r="B15" s="15" t="str">
        <x:v>V-EMC-01</x:v>
      </x:c>
      <x:c r="C15" s="15" t="str">
        <x:v>Connector ESD/EFT/surge</x:v>
      </x:c>
      <x:c r="D15" s="15" t="str">
        <x:v>Onaylı sistem test standardı</x:v>
      </x:c>
      <x:c r="E15" s="15" t="str">
        <x:v>Standart, seviye, test noktası</x:v>
      </x:c>
      <x:c r="F15" s="15" t="str">
        <x:v>Hedefler UNKNOWN</x:v>
      </x:c>
      <x:c r="G15" s="15" t="str">
        <x:v>G5</x:v>
      </x:c>
      <x:c r="H15" s="15" t="str">
        <x:v>Compliance TBD</x:v>
      </x:c>
      <x:c r="I15" s="15" t="str">
        <x:v>NOT_RUN</x:v>
      </x:c>
      <x:c r="J15" s="15" t="str">
        <x:v>Lab raporu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4" hidden="0" customHeight="1">
      <x:c r="A16" s="2"/>
      <x:c r="B16" s="15" t="str">
        <x:v>V-FAIL-01</x:v>
      </x:c>
      <x:c r="C16" s="15" t="str">
        <x:v>Bridge/helper fault recovery</x:v>
      </x:c>
      <x:c r="D16" s="15" t="str">
        <x:v>Bus hata enjeksiyonu ve watchdog testi</x:v>
      </x:c>
      <x:c r="E16" s="15" t="str">
        <x:v>Kabul edilen toparlanma davranışı</x:v>
      </x:c>
      <x:c r="F16" s="15" t="str">
        <x:v>Timeout/veri kaybı eşiği UNKNOWN</x:v>
      </x:c>
      <x:c r="G16" s="15" t="str">
        <x:v>G3/G5</x:v>
      </x:c>
      <x:c r="H16" s="15" t="str">
        <x:v>FW + Test TBD</x:v>
      </x:c>
      <x:c r="I16" s="15" t="str">
        <x:v>NOT_RUN</x:v>
      </x:c>
      <x:c r="J16" s="15" t="str">
        <x:v>Hata enjeksiyon raporu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I6:I16">
    <x:cfRule type="containsText" dxfId="28" priority="1" operator="containsText" text="PASS"/>
    <x:cfRule type="containsText" dxfId="29" priority="2" operator="containsText" text="BLOCKED"/>
    <x:cfRule type="containsText" dxfId="30" priority="3" operator="containsText" text="UNKNOWN"/>
    <x:cfRule type="containsText" dxfId="31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d90ca1d5a01f4e1b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19" hidden="0" customWidth="1"/>
    <x:col min="4" max="4" width="36" hidden="0" customWidth="1"/>
    <x:col min="5" max="5" width="58" hidden="0" customWidth="1"/>
    <x:col min="6" max="6" width="49" hidden="0" customWidth="1"/>
    <x:col min="7" max="7" width="24" hidden="0" customWidth="1"/>
    <x:col min="8" max="8" width="17" hidden="0" customWidth="1"/>
    <x:col min="9" max="9" width="42" hidden="0" customWidth="1"/>
    <x:col min="10" max="10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Resmî Kaynaklar ve İddia Sınırları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resmî üretici/ESP-IDF sayfaları ve üreticinin GitHub deposu kullanıldı. GitHub issue kullanıcı talebidir; ürün desteği kanıtı değildir.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Kaynak ID</x:v>
      </x:c>
      <x:c r="C5" s="52" t="str">
        <x:v>Kuruluş</x:v>
      </x:c>
      <x:c r="D5" s="52" t="str">
        <x:v>Belge / sayfa</x:v>
      </x:c>
      <x:c r="E5" s="52" t="str">
        <x:v>URL</x:v>
      </x:c>
      <x:c r="F5" s="52" t="str">
        <x:v>Doğrudan desteklediği iddia</x:v>
      </x:c>
      <x:c r="G5" s="52" t="str">
        <x:v>Kanıt sınıfı</x:v>
      </x:c>
      <x:c r="H5" s="52" t="str">
        <x:v>Erişim</x:v>
      </x:c>
      <x:c r="I5" s="52" t="str">
        <x:v>Sınırlama</x:v>
      </x:c>
      <x:c r="J5" s="52" t="str">
        <x:v>Durum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2" hidden="0" customHeight="1">
      <x:c r="A6" s="2"/>
      <x:c r="B6" s="15" t="str">
        <x:v>SRC-ESP-01</x:v>
      </x:c>
      <x:c r="C6" s="15" t="str">
        <x:v>Espressif</x:v>
      </x:c>
      <x:c r="D6" s="15" t="str">
        <x:v>ESP32-S3 Datasheet</x:v>
      </x:c>
      <x:c r="E6" s="15" t="str">
        <x:v>https://documentation.espressif.com/esp32-s3_datasheet_en.pdf</x:v>
      </x:c>
      <x:c r="F6" s="15" t="str">
        <x:v>3 UART; 4 TX + 4 RX RMT; RMT RAM ve DMA sınırlamaları</x:v>
      </x:c>
      <x:c r="G6" s="15" t="str">
        <x:v>SOURCE_EXPLICIT</x:v>
      </x:c>
      <x:c r="H6" s="15" t="str">
        <x:v>18.10.2026</x:v>
      </x:c>
      <x:c r="I6" s="15" t="str">
        <x:v>RMT'yi UART uyumlu yapmaz</x:v>
      </x:c>
      <x:c r="J6" s="15" t="str">
        <x:v>PASS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2" hidden="0" customHeight="1">
      <x:c r="A7" s="2"/>
      <x:c r="B7" s="15" t="str">
        <x:v>SRC-ESP-02</x:v>
      </x:c>
      <x:c r="C7" s="15" t="str">
        <x:v>Espressif</x:v>
      </x:c>
      <x:c r="D7" s="15" t="str">
        <x:v>ESP-IDF stable UART</x:v>
      </x:c>
      <x:c r="E7" s="15" t="str">
        <x:v>https://docs.espressif.com/projects/esp-idf/en/stable/esp32s3/api-reference/peripherals/uart.html</x:v>
      </x:c>
      <x:c r="F7" s="15" t="str">
        <x:v>Üç UART denetleyicisi ve bağımsız yapılandırma</x:v>
      </x:c>
      <x:c r="G7" s="15" t="str">
        <x:v>SOURCE_EXPLICIT</x:v>
      </x:c>
      <x:c r="H7" s="15" t="str">
        <x:v>18.10.2026</x:v>
      </x:c>
      <x:c r="I7" s="15" t="str">
        <x:v>On bağımsız UART kapasitesi değildir</x:v>
      </x:c>
      <x:c r="J7" s="15" t="str">
        <x:v>PASS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2" hidden="0" customHeight="1">
      <x:c r="A8" s="2"/>
      <x:c r="B8" s="15" t="str">
        <x:v>SRC-ESP-03</x:v>
      </x:c>
      <x:c r="C8" s="15" t="str">
        <x:v>Espressif</x:v>
      </x:c>
      <x:c r="D8" s="15" t="str">
        <x:v>ESP-IDF stable RMT</x:v>
      </x:c>
      <x:c r="E8" s="15" t="str">
        <x:v>https://docs.espressif.com/projects/esp-idf/en/stable/esp32s3/api-reference/peripherals/rmt.html</x:v>
      </x:c>
      <x:c r="F8" s="15" t="str">
        <x:v>RMT sembol/kanal modeli ve çok kanallı gönderim</x:v>
      </x:c>
      <x:c r="G8" s="15" t="str">
        <x:v>SOURCE_EXPLICIT</x:v>
      </x:c>
      <x:c r="H8" s="15" t="str">
        <x:v>18.10.2026</x:v>
      </x:c>
      <x:c r="I8" s="15" t="str">
        <x:v>UART encoder desteği göstermez</x:v>
      </x:c>
      <x:c r="J8" s="15" t="str">
        <x:v>PASS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2" hidden="0" customHeight="1">
      <x:c r="A9" s="2"/>
      <x:c r="B9" s="15" t="str">
        <x:v>SRC-ESP-04</x:v>
      </x:c>
      <x:c r="C9" s="15" t="str">
        <x:v>Espressif</x:v>
      </x:c>
      <x:c r="D9" s="15" t="str">
        <x:v>ESP-IDF RMT FAQ</x:v>
      </x:c>
      <x:c r="E9" s="15" t="str">
        <x:v>https://docs.espressif.com/projects/esp-faq/en/latest/software-framework/peripherals/rmt.html</x:v>
      </x:c>
      <x:c r="F9" s="15" t="str">
        <x:v>RMT kanal sınıfı ve kullanım notları</x:v>
      </x:c>
      <x:c r="G9" s="15" t="str">
        <x:v>CONFLICT; SOURCE_EXPLICIT</x:v>
      </x:c>
      <x:c r="H9" s="15" t="str">
        <x:v>18.10.2026</x:v>
      </x:c>
      <x:c r="I9" s="15" t="str">
        <x:v>48 bytes ifadesi diğer resmî kaynaklarla çatışır; 48 word esas alındı</x:v>
      </x:c>
      <x:c r="J9" s="15" t="str">
        <x:v>BLOCKED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2" hidden="0" customHeight="1">
      <x:c r="A10" s="2"/>
      <x:c r="B10" s="15" t="str">
        <x:v>SRC-ESP-05</x:v>
      </x:c>
      <x:c r="C10" s="15" t="str">
        <x:v>Espressif</x:v>
      </x:c>
      <x:c r="D10" s="15" t="str">
        <x:v>ESP-IDF issue #10128</x:v>
      </x:c>
      <x:c r="E10" s="15" t="str">
        <x:v>https://github.com/espressif/esp-idf/issues/10128</x:v>
      </x:c>
      <x:c r="F10" s="15" t="str">
        <x:v>RMT-as-UART talebinin Open / In Progress feature request olduğunu gösterir</x:v>
      </x:c>
      <x:c r="G10" s="15" t="str">
        <x:v>SECONDARY_SOURCE</x:v>
      </x:c>
      <x:c r="H10" s="15" t="str">
        <x:v>18.10.2026</x:v>
      </x:c>
      <x:c r="I10" s="15" t="str">
        <x:v>Issue gövdesi kullanıcı beyanıdır; destek garantisi değildir</x:v>
      </x:c>
      <x:c r="J10" s="15" t="str">
        <x:v>PASS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2" hidden="0" customHeight="1">
      <x:c r="A11" s="2"/>
      <x:c r="B11" s="15" t="str">
        <x:v>SRC-ESP-06</x:v>
      </x:c>
      <x:c r="C11" s="15" t="str">
        <x:v>Espressif</x:v>
      </x:c>
      <x:c r="D11" s="15" t="str">
        <x:v>Schematic checklist</x:v>
      </x:c>
      <x:c r="E11" s="15" t="str">
        <x:v>https://docs.espressif.com/projects/esp-hardware-design-guidelines/en/latest/esp32s3/schematic-checklist.html</x:v>
      </x:c>
      <x:c r="F11" s="15" t="str">
        <x:v>UART0 GPIO43/44 kullanım bağlamı</x:v>
      </x:c>
      <x:c r="G11" s="15" t="str">
        <x:v>SOURCE_EXPLICIT</x:v>
      </x:c>
      <x:c r="H11" s="15" t="str">
        <x:v>18.10.2026</x:v>
      </x:c>
      <x:c r="I11" s="15" t="str">
        <x:v>Uygulama pin dondurması değildir</x:v>
      </x:c>
      <x:c r="J11" s="15" t="str">
        <x:v>PASS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2" hidden="0" customHeight="1">
      <x:c r="A12" s="2"/>
      <x:c r="B12" s="15" t="str">
        <x:v>SRC-ESP-07</x:v>
      </x:c>
      <x:c r="C12" s="15" t="str">
        <x:v>Espressif</x:v>
      </x:c>
      <x:c r="D12" s="15" t="str">
        <x:v>Download guidelines</x:v>
      </x:c>
      <x:c r="E12" s="15" t="str">
        <x:v>https://docs.espressif.com/projects/esp-hardware-design-guidelines/en/latest/esp32s3/download-guidelines.html</x:v>
      </x:c>
      <x:c r="F12" s="15" t="str">
        <x:v>İndirme/kurtarma arayüzü tavsiyeleri</x:v>
      </x:c>
      <x:c r="G12" s="15" t="str">
        <x:v>SOURCE_EXPLICIT</x:v>
      </x:c>
      <x:c r="H12" s="15" t="str">
        <x:v>18.10.2026</x:v>
      </x:c>
      <x:c r="I12" s="15" t="str">
        <x:v>Ürün gereksiniminin yerine geçmez</x:v>
      </x:c>
      <x:c r="J12" s="15" t="str">
        <x:v>PASS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2" hidden="0" customHeight="1">
      <x:c r="A13" s="2"/>
      <x:c r="B13" s="15" t="str">
        <x:v>SRC-NXP-01</x:v>
      </x:c>
      <x:c r="C13" s="15" t="str">
        <x:v>NXP</x:v>
      </x:c>
      <x:c r="D13" s="15" t="str">
        <x:v>SC16IS752/762 product + Rev 9.1 datasheet</x:v>
      </x:c>
      <x:c r="E13" s="15" t="str">
        <x:v>https://www.nxp.com/docs/en/data-sheet/SC16IS752_SC16IS762.pdf</x:v>
      </x:c>
      <x:c r="F13" s="15" t="str">
        <x:v>Dual UART, I²C/SPI, FIFO, hız, gerilim ve adres seçenekleri</x:v>
      </x:c>
      <x:c r="G13" s="15" t="str">
        <x:v>SOURCE_EXPLICIT</x:v>
      </x:c>
      <x:c r="H13" s="15" t="str">
        <x:v>18.10.2026</x:v>
      </x:c>
      <x:c r="I13" s="15" t="str">
        <x:v>Tam sipariş kodu yaşam döngüsü ayrıca doğrulanmalı</x:v>
      </x:c>
      <x:c r="J13" s="15" t="str">
        <x:v>PASS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2" hidden="0" customHeight="1">
      <x:c r="A14" s="2"/>
      <x:c r="B14" s="15" t="str">
        <x:v>SRC-ADI-01</x:v>
      </x:c>
      <x:c r="C14" s="15" t="str">
        <x:v>Analog Devices</x:v>
      </x:c>
      <x:c r="D14" s="15" t="str">
        <x:v>MAX3109 product/datasheet</x:v>
      </x:c>
      <x:c r="E14" s="15" t="str">
        <x:v>https://www.analog.com/media/en/technical-documentation/data-sheets/max3109.pdf</x:v>
      </x:c>
      <x:c r="F14" s="15" t="str">
        <x:v>Dual UART bridge özellikleri</x:v>
      </x:c>
      <x:c r="G14" s="15" t="str">
        <x:v>SOURCE_EXPLICIT</x:v>
      </x:c>
      <x:c r="H14" s="15" t="str">
        <x:v>18.10.2026</x:v>
      </x:c>
      <x:c r="I14" s="15" t="str">
        <x:v>Exact part kararı değildir</x:v>
      </x:c>
      <x:c r="J14" s="15" t="str">
        <x:v>PASS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2" hidden="0" customHeight="1">
      <x:c r="A15" s="2"/>
      <x:c r="B15" s="15" t="str">
        <x:v>SRC-ADI-02</x:v>
      </x:c>
      <x:c r="C15" s="15" t="str">
        <x:v>Analog Devices</x:v>
      </x:c>
      <x:c r="D15" s="15" t="str">
        <x:v>MAX14830 product/datasheet</x:v>
      </x:c>
      <x:c r="E15" s="15" t="str">
        <x:v>https://www.analog.com/MAX14830/datasheet</x:v>
      </x:c>
      <x:c r="F15" s="15" t="str">
        <x:v>Quad UART bridge özellikleri</x:v>
      </x:c>
      <x:c r="G15" s="15" t="str">
        <x:v>SOURCE_EXPLICIT</x:v>
      </x:c>
      <x:c r="H15" s="15" t="str">
        <x:v>18.10.2026</x:v>
      </x:c>
      <x:c r="I15" s="15" t="str">
        <x:v>Exact part kararı değildir</x:v>
      </x:c>
      <x:c r="J15" s="15" t="str">
        <x:v>PASS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2" hidden="0" customHeight="1">
      <x:c r="A16" s="2"/>
      <x:c r="B16" s="15" t="str">
        <x:v>SRC-MAX-01</x:v>
      </x:c>
      <x:c r="C16" s="15" t="str">
        <x:v>MaxLinear</x:v>
      </x:c>
      <x:c r="D16" s="15" t="str">
        <x:v>XR16L784 product/datasheet</x:v>
      </x:c>
      <x:c r="E16" s="15" t="str">
        <x:v>https://www.maxlinear.com/document?id=358</x:v>
      </x:c>
      <x:c r="F16" s="15" t="str">
        <x:v>Quad UART paralel bus özellikleri</x:v>
      </x:c>
      <x:c r="G16" s="15" t="str">
        <x:v>SOURCE_EXPLICIT</x:v>
      </x:c>
      <x:c r="H16" s="15" t="str">
        <x:v>18.10.2026</x:v>
      </x:c>
      <x:c r="I16" s="15" t="str">
        <x:v>Orderable yaşam döngüsü karışık</x:v>
      </x:c>
      <x:c r="J16" s="15" t="str">
        <x:v>PASS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2" hidden="0" customHeight="1">
      <x:c r="A17" s="2"/>
      <x:c r="B17" s="15" t="str">
        <x:v>SRC-MAX-02</x:v>
      </x:c>
      <x:c r="C17" s="15" t="str">
        <x:v>MaxLinear</x:v>
      </x:c>
      <x:c r="D17" s="15" t="str">
        <x:v>XR20M1172 product page</x:v>
      </x:c>
      <x:c r="E17" s="15" t="str">
        <x:v>https://www.maxlinear.com/product/interface/uarts/i2c-spi-uarts/xr20m1172</x:v>
      </x:c>
      <x:c r="F17" s="15" t="str">
        <x:v>Dual UART bridge ve OBS yaşam döngüsü</x:v>
      </x:c>
      <x:c r="G17" s="15" t="str">
        <x:v>SOURCE_EXPLICIT</x:v>
      </x:c>
      <x:c r="H17" s="15" t="str">
        <x:v>18.10.2026</x:v>
      </x:c>
      <x:c r="I17" s="15" t="str">
        <x:v>Yeni tasarım için aday değil</x:v>
      </x:c>
      <x:c r="J17" s="15" t="str">
        <x:v>PASS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2" hidden="0" customHeight="1">
      <x:c r="A18" s="2"/>
      <x:c r="B18" s="15" t="str">
        <x:v>SRC-TI-01</x:v>
      </x:c>
      <x:c r="C18" s="15" t="str">
        <x:v>Texas Instruments</x:v>
      </x:c>
      <x:c r="D18" s="15" t="str">
        <x:v>TL16C754C product/datasheet</x:v>
      </x:c>
      <x:c r="E18" s="15" t="str">
        <x:v>https://www.ti.com/lit/ds/symlink/tl16c754c.pdf</x:v>
      </x:c>
      <x:c r="F18" s="15" t="str">
        <x:v>Quad UART paralel bus özellikleri</x:v>
      </x:c>
      <x:c r="G18" s="15" t="str">
        <x:v>SOURCE_EXPLICIT</x:v>
      </x:c>
      <x:c r="H18" s="15" t="str">
        <x:v>18.10.2026</x:v>
      </x:c>
      <x:c r="I18" s="15" t="str">
        <x:v>GPIO bütçesi doğrulanmadı</x:v>
      </x:c>
      <x:c r="J18" s="15" t="str">
        <x:v>PASS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2" hidden="0" customHeight="1">
      <x:c r="A19" s="2"/>
      <x:c r="B19" s="15" t="str">
        <x:v>SRC-TI-02</x:v>
      </x:c>
      <x:c r="C19" s="15" t="str">
        <x:v>Texas Instruments</x:v>
      </x:c>
      <x:c r="D19" s="15" t="str">
        <x:v>MAX3237E product/datasheet</x:v>
      </x:c>
      <x:c r="E19" s="15" t="str">
        <x:v>https://www.ti.com/lit/gpn/MAX3237E</x:v>
      </x:c>
      <x:c r="F19" s="15" t="str">
        <x:v>5T/3R ve disable/high-Z davranışı</x:v>
      </x:c>
      <x:c r="G19" s="15" t="str">
        <x:v>SOURCE_EXPLICIT</x:v>
      </x:c>
      <x:c r="H19" s="15" t="str">
        <x:v>18.10.2026</x:v>
      </x:c>
      <x:c r="I19" s="15" t="str">
        <x:v>Exact part kararı değildir</x:v>
      </x:c>
      <x:c r="J19" s="15" t="str">
        <x:v>PASS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2" hidden="0" customHeight="1">
      <x:c r="A20" s="2"/>
      <x:c r="B20" s="15" t="str">
        <x:v>SRC-TI-03</x:v>
      </x:c>
      <x:c r="C20" s="15" t="str">
        <x:v>Texas Instruments</x:v>
      </x:c>
      <x:c r="D20" s="15" t="str">
        <x:v>TRS3238E product page</x:v>
      </x:c>
      <x:c r="E20" s="15" t="str">
        <x:v>https://www.ti.com/product/TRS3238E</x:v>
      </x:c>
      <x:c r="F20" s="15" t="str">
        <x:v>5T/3R ve auto-powerdown sınıfı</x:v>
      </x:c>
      <x:c r="G20" s="15" t="str">
        <x:v>SOURCE_EXPLICIT</x:v>
      </x:c>
      <x:c r="H20" s="15" t="str">
        <x:v>18.10.2026</x:v>
      </x:c>
      <x:c r="I20" s="15" t="str">
        <x:v>Wake/ilk karakter testi gerekir</x:v>
      </x:c>
      <x:c r="J20" s="15" t="str">
        <x:v>PASS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2" hidden="0" customHeight="1">
      <x:c r="A21" s="2"/>
      <x:c r="B21" s="15" t="str">
        <x:v>SRC-TI-03B</x:v>
      </x:c>
      <x:c r="C21" s="15" t="str">
        <x:v>Texas Instruments</x:v>
      </x:c>
      <x:c r="D21" s="15" t="str">
        <x:v>TRSF3238E product page</x:v>
      </x:c>
      <x:c r="E21" s="15" t="str">
        <x:v>https://www.ti.com/product/TRSF3238E</x:v>
      </x:c>
      <x:c r="F21" s="15" t="str">
        <x:v>5T/3R yüksek-hız aile seçeneği</x:v>
      </x:c>
      <x:c r="G21" s="15" t="str">
        <x:v>SOURCE_EXPLICIT</x:v>
      </x:c>
      <x:c r="H21" s="15" t="str">
        <x:v>18.10.2026</x:v>
      </x:c>
      <x:c r="I21" s="15" t="str">
        <x:v>Exact part kararı değildir</x:v>
      </x:c>
      <x:c r="J21" s="15" t="str">
        <x:v>PASS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2" hidden="0" customHeight="1">
      <x:c r="A22" s="2"/>
      <x:c r="B22" s="15" t="str">
        <x:v>SRC-ADI-03</x:v>
      </x:c>
      <x:c r="C22" s="15" t="str">
        <x:v>Analog Devices</x:v>
      </x:c>
      <x:c r="D22" s="15" t="str">
        <x:v>MAX3238E/MAX3248E datasheet</x:v>
      </x:c>
      <x:c r="E22" s="15" t="str">
        <x:v>https://www.analog.com/media/en/technical-documentation/data-sheets/MAX3238E-MAX3248E.pdf</x:v>
      </x:c>
      <x:c r="F22" s="15" t="str">
        <x:v>5T/3R, shutdown ve power-off davranışı</x:v>
      </x:c>
      <x:c r="G22" s="15" t="str">
        <x:v>SOURCE_EXPLICIT</x:v>
      </x:c>
      <x:c r="H22" s="15" t="str">
        <x:v>18.10.2026</x:v>
      </x:c>
      <x:c r="I22" s="15" t="str">
        <x:v>MCU Hi-Z'nin bilinen idle olduğu varsayılamaz</x:v>
      </x:c>
      <x:c r="J22" s="15" t="str">
        <x:v>PASS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62" hidden="0" customHeight="1">
      <x:c r="A23" s="2"/>
      <x:c r="B23" s="15" t="str">
        <x:v>SRC-ADI-04</x:v>
      </x:c>
      <x:c r="C23" s="15" t="str">
        <x:v>Analog Devices</x:v>
      </x:c>
      <x:c r="D23" s="15" t="str">
        <x:v>ADM3307E family datasheet</x:v>
      </x:c>
      <x:c r="E23" s="15" t="str">
        <x:v>https://www.analog.com/media/en/technical-documentation/data-sheets/ADM3307E_3310E_3311E_3312E_3315E.pdf</x:v>
      </x:c>
      <x:c r="F23" s="15" t="str">
        <x:v>5T/3R; disabled TX three-state değildir; çıkışlar paralellenemez</x:v>
      </x:c>
      <x:c r="G23" s="15" t="str">
        <x:v>SOURCE_EXPLICIT</x:v>
      </x:c>
      <x:c r="H23" s="15" t="str">
        <x:v>18.10.2026</x:v>
      </x:c>
      <x:c r="I23" s="15" t="str">
        <x:v>Family-specific davranış genellenemez</x:v>
      </x:c>
      <x:c r="J23" s="15" t="str">
        <x:v>PASS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62" hidden="0" customHeight="1">
      <x:c r="A24" s="2"/>
      <x:c r="B24" s="15" t="str">
        <x:v>SRC-TI-04</x:v>
      </x:c>
      <x:c r="C24" s="15" t="str">
        <x:v>Texas Instruments</x:v>
      </x:c>
      <x:c r="D24" s="15" t="str">
        <x:v>TRS3232E datasheet</x:v>
      </x:c>
      <x:c r="E24" s="15" t="str">
        <x:v>https://www.ti.com/lit/ds/symlink/trs3232e.pdf</x:v>
      </x:c>
      <x:c r="F24" s="15" t="str">
        <x:v>2T/2R modüler RS-232 sınıfı</x:v>
      </x:c>
      <x:c r="G24" s="15" t="str">
        <x:v>SOURCE_EXPLICIT</x:v>
      </x:c>
      <x:c r="H24" s="15" t="str">
        <x:v>18.10.2026</x:v>
      </x:c>
      <x:c r="I24" s="15" t="str">
        <x:v>Beş TX için çoklu paket gerekir</x:v>
      </x:c>
      <x:c r="J24" s="15" t="str">
        <x:v>PASS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62" hidden="0" customHeight="1">
      <x:c r="A25" s="2"/>
      <x:c r="B25" s="15" t="str">
        <x:v>SRC-TI-04B</x:v>
      </x:c>
      <x:c r="C25" s="15" t="str">
        <x:v>Texas Instruments</x:v>
      </x:c>
      <x:c r="D25" s="15" t="str">
        <x:v>TRSF3232E product page</x:v>
      </x:c>
      <x:c r="E25" s="15" t="str">
        <x:v>https://www.ti.com/product/TRSF3232E</x:v>
      </x:c>
      <x:c r="F25" s="15" t="str">
        <x:v>2T/2R yüksek-hız aile seçeneği</x:v>
      </x:c>
      <x:c r="G25" s="15" t="str">
        <x:v>SOURCE_EXPLICIT</x:v>
      </x:c>
      <x:c r="H25" s="15" t="str">
        <x:v>18.10.2026</x:v>
      </x:c>
      <x:c r="I25" s="15" t="str">
        <x:v>Beş TX için çoklu paket gerekir</x:v>
      </x:c>
      <x:c r="J25" s="15" t="str">
        <x:v>PASS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2" hidden="0" customHeight="1">
      <x:c r="A26" s="2"/>
      <x:c r="B26" s="15" t="str">
        <x:v>SRC-ADI-05</x:v>
      </x:c>
      <x:c r="C26" s="15" t="str">
        <x:v>Analog Devices</x:v>
      </x:c>
      <x:c r="D26" s="15" t="str">
        <x:v>ADM3251E product page</x:v>
      </x:c>
      <x:c r="E26" s="15" t="str">
        <x:v>https://www.analog.com/en/products/adm3251e.html</x:v>
      </x:c>
      <x:c r="F26" s="15" t="str">
        <x:v>İzole 1T/1R RS-232 sınıfı</x:v>
      </x:c>
      <x:c r="G26" s="15" t="str">
        <x:v>SOURCE_EXPLICIT</x:v>
      </x:c>
      <x:c r="H26" s="15" t="str">
        <x:v>18.10.2026</x:v>
      </x:c>
      <x:c r="I26" s="15" t="str">
        <x:v>İzolasyon gereksinimi UNKNOWN</x:v>
      </x:c>
      <x:c r="J26" s="15" t="str">
        <x:v>PASS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2" hidden="0" customHeight="1">
      <x:c r="A27" s="2"/>
      <x:c r="B27" s="15" t="str">
        <x:v>SRC-ADI-06</x:v>
      </x:c>
      <x:c r="C27" s="15" t="str">
        <x:v>Analog Devices</x:v>
      </x:c>
      <x:c r="D27" s="15" t="str">
        <x:v>ADM207E product page</x:v>
      </x:c>
      <x:c r="E27" s="15" t="str">
        <x:v>https://www.analog.com/en/products/adm207e.html</x:v>
      </x:c>
      <x:c r="F27" s="15" t="str">
        <x:v>5T/3R, 5 V ve kontrol pini olmayan aile sınıfı</x:v>
      </x:c>
      <x:c r="G27" s="15" t="str">
        <x:v>SOURCE_EXPLICIT</x:v>
      </x:c>
      <x:c r="H27" s="15" t="str">
        <x:v>18.10.2026</x:v>
      </x:c>
      <x:c r="I27" s="15" t="str">
        <x:v>Boot-disable gereksinimiyle uyum UNKNOWN</x:v>
      </x:c>
      <x:c r="J27" s="15" t="str">
        <x:v>PASS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2" hidden="0" customHeight="1">
      <x:c r="A28" s="2"/>
      <x:c r="B28" s="15" t="str">
        <x:v>SRC-NXP-02</x:v>
      </x:c>
      <x:c r="C28" s="15" t="str">
        <x:v>Nexperia</x:v>
      </x:c>
      <x:c r="D28" s="15" t="str">
        <x:v>74LVC541A product page</x:v>
      </x:c>
      <x:c r="E28" s="15" t="str">
        <x:v>https://www.nexperia.com/products/analog-logic-ics/logic/buffers-inverters-transceivers/buffers/series/74LVC541A.html</x:v>
      </x:c>
      <x:c r="F28" s="15" t="str">
        <x:v>Logic-side 8-bit buffer, OE ve Ioff sınıfı</x:v>
      </x:c>
      <x:c r="G28" s="15" t="str">
        <x:v>SOURCE_EXPLICIT</x:v>
      </x:c>
      <x:c r="H28" s="15" t="str">
        <x:v>18.10.2026</x:v>
      </x:c>
      <x:c r="I28" s="15" t="str">
        <x:v>5 V TTL çıkışı varsayılamaz</x:v>
      </x:c>
      <x:c r="J28" s="15" t="str">
        <x:v>PASS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2" hidden="0" customHeight="1">
      <x:c r="A29" s="2"/>
      <x:c r="B29" s="15" t="str">
        <x:v>SRC-TI-05</x:v>
      </x:c>
      <x:c r="C29" s="15" t="str">
        <x:v>Texas Instruments</x:v>
      </x:c>
      <x:c r="D29" s="15" t="str">
        <x:v>SN74AXC8T245 datasheet</x:v>
      </x:c>
      <x:c r="E29" s="15" t="str">
        <x:v>https://www.ti.com/lit/ds/symlink/sn74axc8t245.pdf</x:v>
      </x:c>
      <x:c r="F29" s="15" t="str">
        <x:v>Dual-supply translator, OE ve power-off isolation</x:v>
      </x:c>
      <x:c r="G29" s="15" t="str">
        <x:v>SOURCE_EXPLICIT</x:v>
      </x:c>
      <x:c r="H29" s="15" t="str">
        <x:v>18.10.2026</x:v>
      </x:c>
      <x:c r="I29" s="15" t="str">
        <x:v>TTL seviyesi ve yön UNKNOWN</x:v>
      </x:c>
      <x:c r="J29" s="15" t="str">
        <x:v>PASS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2" hidden="0" customHeight="1">
      <x:c r="A30" s="2"/>
      <x:c r="B30" s="15" t="str">
        <x:v>SRC-TI-06</x:v>
      </x:c>
      <x:c r="C30" s="15" t="str">
        <x:v>Texas Instruments</x:v>
      </x:c>
      <x:c r="D30" s="15" t="str">
        <x:v>RS-232 DTE/DCE application note</x:v>
      </x:c>
      <x:c r="E30" s="15" t="str">
        <x:v>https://www.ti.com/lit/SLLA607</x:v>
      </x:c>
      <x:c r="F30" s="15" t="str">
        <x:v>DTE/DCE ve connector eşleme ihtiyacı</x:v>
      </x:c>
      <x:c r="G30" s="15" t="str">
        <x:v>SECONDARY_SOURCE</x:v>
      </x:c>
      <x:c r="H30" s="15" t="str">
        <x:v>18.10.2026</x:v>
      </x:c>
      <x:c r="I30" s="15" t="str">
        <x:v>Ürün veri sayfası değildir</x:v>
      </x:c>
      <x:c r="J30" s="15" t="str">
        <x:v>PASS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J6:J30">
    <x:cfRule type="containsText" dxfId="32" priority="1" operator="containsText" text="PASS"/>
    <x:cfRule type="containsText" dxfId="33" priority="2" operator="containsText" text="BLOCKED"/>
    <x:cfRule type="containsText" dxfId="34" priority="3" operator="containsText" text="UNKNOWN"/>
    <x:cfRule type="containsText" dxfId="3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dc23101f66d34676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2" max="2" width="17" hidden="0" customWidth="1"/>
    <x:col min="3" max="3" width="29" hidden="0" customWidth="1"/>
    <x:col min="4" max="4" width="52" hidden="0" customWidth="1"/>
    <x:col min="5" max="5" width="40" hidden="0" customWidth="1"/>
    <x:col min="6" max="6" width="4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Sınırlar ve Sözlük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dosya araştırma ve karar hazırlığı içindir. Yetkili müşteri kararı, exact-part değerlendirmesi veya fiziksel doğrulamanın yerine geçmez.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sırası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52" t="str">
        <x:v>Adım</x:v>
      </x:c>
      <x:c r="C7" s="52" t="str">
        <x:v>Sahip</x:v>
      </x:c>
      <x:c r="D7" s="52" t="str">
        <x:v>İşlem</x:v>
      </x:c>
      <x:c r="E7" s="52" t="str">
        <x:v>Çıktı</x:v>
      </x:c>
      <x:c r="F7" s="52" t="str">
        <x:v>Kapı etkisi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hidden="0" customHeight="1">
      <x:c r="A8" s="2"/>
      <x:c r="B8" s="15" t="n">
        <x:v>1</x:v>
      </x:c>
      <x:c r="C8" s="15" t="str">
        <x:v>Customer / Product Owner TBD</x:v>
      </x:c>
      <x:c r="D8" s="15" t="str">
        <x:v>Girdi Formu'nda dalı, eşlemeyi ve eşzamanlılığı kanıtla</x:v>
      </x:c>
      <x:c r="E8" s="15" t="str">
        <x:v>Yetkili CF-09 kararı</x:v>
      </x:c>
      <x:c r="F8" s="15" t="str">
        <x:v>G1 engellerinden yalnız CF-09 anlamını kapatabilir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hidden="0" customHeight="1">
      <x:c r="A9" s="2"/>
      <x:c r="B9" s="15" t="n">
        <x:v>2</x:v>
      </x:c>
      <x:c r="C9" s="15" t="str">
        <x:v>HW + FW TBD</x:v>
      </x:c>
      <x:c r="D9" s="15" t="str">
        <x:v>Seçilen dala göre Mimari Matris'ten bir sınıfı kısa listele</x:v>
      </x:c>
      <x:c r="E9" s="15" t="str">
        <x:v>G2 mimari öneri</x:v>
      </x:c>
      <x:c r="F9" s="15" t="str">
        <x:v>Henüz PASS değil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hidden="0" customHeight="1">
      <x:c r="A10" s="2"/>
      <x:c r="B10" s="15" t="n">
        <x:v>3</x:v>
      </x:c>
      <x:c r="C10" s="15" t="str">
        <x:v>HW TBD</x:v>
      </x:c>
      <x:c r="D10" s="15" t="str">
        <x:v>UART bridge, buffer ve RS-232 exact part'larını elektrik/paket/ömür açısından doğrula</x:v>
      </x:c>
      <x:c r="E10" s="15" t="str">
        <x:v>Exact-part kayıtları</x:v>
      </x:c>
      <x:c r="F10" s="15" t="str">
        <x:v>G2 BLOCKED çözümü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hidden="0" customHeight="1">
      <x:c r="A11" s="2"/>
      <x:c r="B11" s="15" t="n">
        <x:v>4</x:v>
      </x:c>
      <x:c r="C11" s="15" t="str">
        <x:v>FW TBD</x:v>
      </x:c>
      <x:c r="D11" s="15" t="str">
        <x:v>Veri yolu ve/veya RMT prototipini worst-case yükte çalıştır</x:v>
      </x:c>
      <x:c r="E11" s="15" t="str">
        <x:v>Ham izler ve firmware</x:v>
      </x:c>
      <x:c r="F11" s="15" t="str">
        <x:v>G3 doğrulaması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hidden="0" customHeight="1">
      <x:c r="A12" s="2"/>
      <x:c r="B12" s="15" t="n">
        <x:v>5</x:v>
      </x:c>
      <x:c r="C12" s="15" t="str">
        <x:v>Test / Compliance TBD</x:v>
      </x:c>
      <x:c r="D12" s="15" t="str">
        <x:v>Boot, power-off, kablo/yük ve EMC testlerini çalıştır</x:v>
      </x:c>
      <x:c r="E12" s="15" t="str">
        <x:v>Bench/lab kanıtı</x:v>
      </x:c>
      <x:c r="F12" s="15" t="str">
        <x:v>G5 gerekiyorsa NOT_RUN'dan çıkar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hidden="0" customHeight="1">
      <x:c r="A13" s="2"/>
      <x:c r="B13" s="15" t="n">
        <x:v>6</x:v>
      </x:c>
      <x:c r="C13" s="15" t="str">
        <x:v>Gate Owner TBD</x:v>
      </x:c>
      <x:c r="D13" s="15" t="str">
        <x:v>Bağımsız doğrulama sonrası ayrı kapı kaydı ver</x:v>
      </x:c>
      <x:c r="E13" s="15" t="str">
        <x:v>Kapı kararı</x:v>
      </x:c>
      <x:c r="F13" s="15" t="str">
        <x:v>Bu çalışma kitabı tek başına PASS vermez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52" t="str">
        <x:v>Durum</x:v>
      </x:c>
      <x:c r="C17" s="52" t="str">
        <x:v>Tanım</x:v>
      </x:c>
      <x:c r="D17" s="52" t="str">
        <x:v>Bu dosyadaki kullanım</x:v>
      </x:c>
      <x:c r="E17" s="52" t="str">
        <x:v>PASS sınırı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Kaynak erişimi veya girdi tamlığı gibi dar kontroller</x:v>
      </x:c>
      <x:c r="E18" s="15" t="str">
        <x:v>Mimari/kapı PASS'i anlamına gelmez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Zorunlu bağımlılık/karar/kanıt eksik</x:v>
      </x:c>
      <x:c r="D19" s="15" t="str">
        <x:v>CF-09, mimari seçim ve exact-part</x:v>
      </x:c>
      <x:c r="E19" s="15" t="str">
        <x:v>Kapanmadan ilerleme iddiası yapılamaz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yok veya belirlenmedi</x:v>
      </x:c>
      <x:c r="D20" s="15" t="str">
        <x:v>Elektriksel/mekanik/yük girdileri</x:v>
      </x:c>
      <x:c r="E20" s="15" t="str">
        <x:v>Tahmin edilmez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 veya prototip çalıştırılmadı</x:v>
      </x:c>
      <x:c r="D21" s="15" t="str">
        <x:v>RMT, yük, boot ve bench testleri</x:v>
      </x:c>
      <x:c r="E21" s="15" t="str">
        <x:v>Sonuç çıkarılamaz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·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52" t="str">
        <x:v>Sınıf</x:v>
      </x:c>
      <x:c r="C25" s="52" t="str">
        <x:v>Tanım</x:v>
      </x:c>
      <x:c r="D25" s="52" t="str">
        <x:v>Karar kullanımı</x:v>
      </x:c>
      <x:c r="E25" s="52" t="str">
        <x:v>Sınır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belirtir</x:v>
      </x:c>
      <x:c r="D26" s="15" t="str">
        <x:v>Doğrudan üretici özelliği</x:v>
      </x:c>
      <x:c r="E26" s="15" t="str">
        <x:v>Yalnız iddianın kapsamı kadar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str">
        <x:v>DERIVED</x:v>
      </x:c>
      <x:c r="C27" s="15" t="str">
        <x:v>Kaynaklardan yeniden üretilebilir çıkarım</x:v>
      </x:c>
      <x:c r="D27" s="15" t="str">
        <x:v>Kanal aritmetiği</x:v>
      </x:c>
      <x:c r="E27" s="15" t="str">
        <x:v>Girdiler ve formül görünür olmalı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2"/>
      <x:c r="B28" s="15" t="str">
        <x:v>ENGINEERING_RULE</x:v>
      </x:c>
      <x:c r="C28" s="15" t="str">
        <x:v>Mühendislik kuralı/topoloji ilkesi</x:v>
      </x:c>
      <x:c r="D28" s="15" t="str">
        <x:v>Fan-out ve doğrulama planı</x:v>
      </x:c>
      <x:c r="E28" s="15" t="str">
        <x:v>Müşteri gereksinimi değildir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Uygulama notu, issue veya vekil kaynak</x:v>
      </x:c>
      <x:c r="D29" s="15" t="str">
        <x:v>Destekleyici</x:v>
      </x:c>
      <x:c r="E29" s="15" t="str">
        <x:v>Exact-part/PASS üretmez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Bağlam</x:v>
      </x:c>
      <x:c r="E30" s="15" t="str">
        <x:v>Yerel yeniden doğrulama gerekir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Kapı süreci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Alternatif analizi</x:v>
      </x:c>
      <x:c r="E32" s="15" t="str">
        <x:v>PASS üretmez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Açık soru</x:v>
      </x:c>
      <x:c r="E33" s="15" t="str">
        <x:v>Değer uydurulmaz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uyumsuz</x:v>
      </x:c>
      <x:c r="D34" s="15" t="str">
        <x:v>Uzlaştırma kaydı</x:v>
      </x:c>
      <x:c r="E34" s="15" t="str">
        <x:v>Çözülene kadar PASS yok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Topoloji güvenlik kuralları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52" t="str">
        <x:v>Kural</x:v>
      </x:c>
      <x:c r="C38" s="52" t="str">
        <x:v>Açıklama</x:v>
      </x:c>
      <x:c r="D38" s="52" t="str">
        <x:v>Sınıf</x:v>
      </x:c>
      <x:c r="E38" s="52" t="str">
        <x:v>İhlal sonucu</x:v>
      </x:c>
      <x:c r="F38" s="52" t="str">
        <x:v>Not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8" hidden="0" customHeight="1">
      <x:c r="A39" s="2"/>
      <x:c r="B39" s="15" t="str">
        <x:v>R-01</x:v>
      </x:c>
      <x:c r="C39" s="15" t="str">
        <x:v>Aynalama mantık tarafında yapılır; her RS-232 konnektörü ayrı DOUT sürücüsü alır.</x:v>
      </x:c>
      <x:c r="D39" s="15" t="str">
        <x:v>ENGINEERING_RULE</x:v>
      </x:c>
      <x:c r="E39" s="15" t="str">
        <x:v>BLOCKED</x:v>
      </x:c>
      <x:c r="F39" s="15" t="str">
        <x:v>RS-232 çıkışları ortak node'a bağlanmış varsayılmaz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8" hidden="0" customHeight="1">
      <x:c r="A40" s="2"/>
      <x:c r="B40" s="15" t="str">
        <x:v>R-02</x:v>
      </x:c>
      <x:c r="C40" s="15" t="str">
        <x:v>GPIO Hi-Z, bilinen UART idle/mark seviyesi sayılmaz.</x:v>
      </x:c>
      <x:c r="D40" s="15" t="str">
        <x:v>ENGINEERING_RULE</x:v>
      </x:c>
      <x:c r="E40" s="15" t="str">
        <x:v>BLOCKED</x:v>
      </x:c>
      <x:c r="F40" s="15" t="str">
        <x:v>Family-specific input retention ve pull davranışı incelenir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8" hidden="0" customHeight="1">
      <x:c r="A41" s="2"/>
      <x:c r="B41" s="15" t="str">
        <x:v>R-03</x:v>
      </x:c>
      <x:c r="C41" s="15" t="str">
        <x:v>Disabled = high-Z yalnız veri sayfası açıkça söylüyorsa kabul edilir.</x:v>
      </x:c>
      <x:c r="D41" s="15" t="str">
        <x:v>ENGINEERING_RULE</x:v>
      </x:c>
      <x:c r="E41" s="15" t="str">
        <x:v>BLOCKED</x:v>
      </x:c>
      <x:c r="F41" s="15" t="str">
        <x:v>ADM3307E ters örnek sağlar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48" hidden="0" customHeight="1">
      <x:c r="A42" s="2"/>
      <x:c r="B42" s="15" t="str">
        <x:v>R-04</x:v>
      </x:c>
      <x:c r="C42" s="15" t="str">
        <x:v>Auto-shutdown kullanılan RS-232 aygıtta wake ve ilk karakter bütünlüğü test edilir.</x:v>
      </x:c>
      <x:c r="D42" s="15" t="str">
        <x:v>ENGINEERING_RULE</x:v>
      </x:c>
      <x:c r="E42" s="15" t="str">
        <x:v>NOT_RUN</x:v>
      </x:c>
      <x:c r="F42" s="15" t="str">
        <x:v>Baud/yük eşikleri müşteri girdisidir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8" hidden="0" customHeight="1">
      <x:c r="A43" s="2"/>
      <x:c r="B43" s="15" t="str">
        <x:v>R-05</x:v>
      </x:c>
      <x:c r="C43" s="15" t="str">
        <x:v>Transceiver ESD derecesi sistem seviyesi sertifika sayılmaz.</x:v>
      </x:c>
      <x:c r="D43" s="15" t="str">
        <x:v>ENGINEERING_RULE</x:v>
      </x:c>
      <x:c r="E43" s="15" t="str">
        <x:v>NOT_RUN</x:v>
      </x:c>
      <x:c r="F43" s="15" t="str">
        <x:v>Connector seviyesinde test hedefi gerekir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39:E43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pageMargins left="0.7" right="0.7" top="0.75" bottom="0.75" header="0.3" footer="0.3"/>
</x:worksheet>
</file>