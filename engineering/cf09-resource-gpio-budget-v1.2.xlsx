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01d6b3a59940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Budget" sheetId="1" r:id="R0b8bb78256f74c9b"/>
    <x:sheet xmlns:r="http://schemas.openxmlformats.org/officeDocument/2006/relationships" name="Bus Sensitivity" sheetId="2" r:id="R4db6eacc3b7a4ac9"/>
    <x:sheet xmlns:r="http://schemas.openxmlformats.org/officeDocument/2006/relationships" name="Pin Guardrails" sheetId="3" r:id="R96bf6ce142a24881"/>
    <x:sheet xmlns:r="http://schemas.openxmlformats.org/officeDocument/2006/relationships" name="GPIO Source" sheetId="4" r:id="R0ccebbc51d8844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0%"/>
    <x:numFmt numFmtId="202" formatCode="0.00"/>
    <x:numFmt numFmtId="203" formatCode="#,##0"/>
    <x:numFmt numFmtId="204" formatCode="0.00%"/>
    <x:numFmt numFmtId="205" formatCode="0.000"/>
  </x:numFmts>
  <x:fonts count="10">
    <x:font>
      <x:sz val="11"/>
      <x:name val="Carlito"/>
    </x:font>
    <x:font>
      <x:b/>
      <x:sz val="18"/>
      <x:color rgb="FFFFFFFF"/>
      <x:name val="Aptos"/>
    </x:font>
    <x:font>
      <x:i/>
      <x:sz val="10"/>
      <x:color rgb="FF1F2937"/>
      <x:name val="Aptos"/>
    </x:font>
    <x:font>
      <x:b/>
      <x:sz val="10"/>
      <x:color rgb="FFFFFFFF"/>
      <x:name val="Aptos"/>
    </x:font>
    <x:font>
      <x:sz val="9"/>
      <x:color rgb="FF1F2937"/>
      <x:name val="Aptos"/>
    </x:font>
    <x:font>
      <x:b/>
      <x:sz val="9"/>
      <x:color rgb="FF1F2937"/>
      <x:name val="Aptos"/>
    </x:font>
    <x:font>
      <x:b/>
      <x:sz val="11"/>
      <x:color rgb="FFFFFFFF"/>
      <x:name val="Aptos"/>
    </x:font>
    <x:font>
      <x:sz val="10"/>
      <x:color rgb="FF1F2937"/>
      <x:name val="Aptos"/>
    </x:font>
    <x:font>
      <x:sz val="8"/>
      <x:color rgb="FF1F2937"/>
      <x:name val="Aptos"/>
    </x:font>
    <x:font>
      <x:b/>
      <x:sz val="9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7F9FC"/>
      </x:patternFill>
    </x:fill>
  </x:fills>
  <x:borders count="2">
    <x:border>
      <x:left/>
      <x:right/>
      <x:top/>
      <x:bottom/>
      <x:diagonal/>
    </x:border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201" fontId="4" fillId="5" borderId="1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3" fontId="4" fillId="0" borderId="1" xfId="0" applyNumberFormat="1" applyFont="1" applyFill="1" applyBorder="1" applyAlignment="1">
      <x:alignment vertical="center"/>
    </x:xf>
    <x:xf numFmtId="204" fontId="4" fillId="0" borderId="1" xfId="0" applyNumberFormat="1" applyFont="1" applyFill="1" applyBorder="1" applyAlignment="1">
      <x:alignment vertical="center"/>
    </x:xf>
    <x:xf numFmtId="205" fontId="4" fillId="0" borderId="1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wrapText="1"/>
    </x:xf>
    <x:xf numFmtId="0" fontId="9" fillId="2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vertical="top"/>
    </x:xf>
    <x:xf numFmtId="0" fontId="8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72db8beb7e47c9" /><Relationship Type="http://schemas.openxmlformats.org/officeDocument/2006/relationships/theme" Target="/xl/theme/theme1.xml" Id="R17800bb2d9754ae0" /><Relationship Type="http://schemas.openxmlformats.org/officeDocument/2006/relationships/sharedStrings" Target="/xl/sharedStrings.xml" Id="R82176a3acfde4ca5" /><Relationship Type="http://schemas.openxmlformats.org/officeDocument/2006/relationships/worksheet" Target="/xl/worksheets/sheet1.xml" Id="R0b8bb78256f74c9b" /><Relationship Type="http://schemas.openxmlformats.org/officeDocument/2006/relationships/worksheet" Target="/xl/worksheets/sheet2.xml" Id="R4db6eacc3b7a4ac9" /><Relationship Type="http://schemas.openxmlformats.org/officeDocument/2006/relationships/worksheet" Target="/xl/worksheets/sheet3.xml" Id="R96bf6ce142a24881" /><Relationship Type="http://schemas.openxmlformats.org/officeDocument/2006/relationships/worksheet" Target="/xl/worksheets/sheet4.xml" Id="R0ccebbc51d8844ad" /></Relationships>
</file>

<file path=xl/tables/table1.xml><?xml version="1.0" encoding="utf-8"?>
<x:table xmlns:x="http://schemas.openxmlformats.org/spreadsheetml/2006/main" id="1" name="ArchitectureScenarioTable" displayName="ArchitectureScenarioTable" ref="A18:S26" headerRowCount="1" totalsRowCount="0" totalsRowShown="0">
  <x:tableColumns count="19">
    <x:tableColumn id="1" name="Mode"/>
    <x:tableColumn id="2" name="K independent overrides"/>
    <x:tableColumn id="3" name="Logical TX"/>
    <x:tableColumn id="4" name="Physical TTL TX"/>
    <x:tableColumn id="5" name="Physical RS-232 TX"/>
    <x:tableColumn id="6" name="Physical RX"/>
    <x:tableColumn id="7" name="Internal UART TX"/>
    <x:tableColumn id="8" name="External UART TX"/>
    <x:tableColumn id="9" name="Quad bridges"/>
    <x:tableColumn id="10" name="CF-09 GPIO min"/>
    <x:tableColumn id="11" name="CF-09 GPIO max"/>
    <x:tableColumn id="12" name="Total GPIO min"/>
    <x:tableColumn id="13" name="Total GPIO max"/>
    <x:tableColumn id="14" name="No-JTAG residual best"/>
    <x:tableColumn id="15" name="No-JTAG residual worst"/>
    <x:tableColumn id="16" name="JTAG residual best"/>
    <x:tableColumn id="17" name="JTAG residual worst"/>
    <x:tableColumn id="18" name="Fit status"/>
    <x:tableColumn id="19" name="Interpre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chitectureOptionTable" displayName="ArchitectureOptionTable" ref="A28:F36" headerRowCount="1" totalsRowCount="0" totalsRowShown="0">
  <x:tableColumns count="6">
    <x:tableColumn id="1" name="Option"/>
    <x:tableColumn id="2" name="Logical / physical"/>
    <x:tableColumn id="3" name="Resource shape"/>
    <x:tableColumn id="4" name="RMT credit"/>
    <x:tableColumn id="5" name="Boot/fault profile"/>
    <x:tableColumn id="6" name="Technical outcome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BusSensitivityTable" displayName="BusSensitivityTable" ref="A12:I57" headerRowCount="1" totalsRowCount="0" totalsRowShown="0">
  <x:tableColumns count="9">
    <x:tableColumn id="1" name="Mode"/>
    <x:tableColumn id="2" name="External TX"/>
    <x:tableColumn id="3" name="Baud vector"/>
    <x:tableColumn id="4" name="Reference bus profile"/>
    <x:tableColumn id="5" name="Reference bus bit/s"/>
    <x:tableColumn id="6" name="Required bit/s"/>
    <x:tableColumn id="7" name="Utilization"/>
    <x:tableColumn id="8" name="Screen"/>
    <x:tableColumn id="9" name="Interpret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inGuardrailTable" displayName="PinGuardrailTable" ref="A4:F12" headerRowCount="1" totalsRowCount="0" totalsRowShown="0">
  <x:tableColumns count="6">
    <x:tableColumn id="1" name="GPIO / group"/>
    <x:tableColumn id="2" name="Source allocation"/>
    <x:tableColumn id="3" name="Fixed use / restriction"/>
    <x:tableColumn id="4" name="HYB-REV10 treatment"/>
    <x:tableColumn id="5" name="Evidence class"/>
    <x:tableColumn id="6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ourceGuardrailTable" displayName="ResourceGuardrailTable" ref="A15:F23" headerRowCount="1" totalsRowCount="0" totalsRowShown="0">
  <x:tableColumns count="6">
    <x:tableColumn id="1" name="Resource"/>
    <x:tableColumn id="2" name="MIRRORED_5"/>
    <x:tableColumn id="3" name="INDEPENDENT_10"/>
    <x:tableColumn id="4" name="Best case"/>
    <x:tableColumn id="5" name="Worst case"/>
    <x:tableColumn id="6" name="Open dependency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BridgeReferenceTable" displayName="BridgeReferenceTable" ref="A26:F30" headerRowCount="1" totalsRowCount="0" totalsRowShown="0">
  <x:tableColumns count="6">
    <x:tableColumn id="1" name="Candidate class"/>
    <x:tableColumn id="2" name="Channels"/>
    <x:tableColumn id="3" name="Official FIFO reference"/>
    <x:tableColumn id="4" name="Official host reference"/>
    <x:tableColumn id="5" name="Role"/>
    <x:tableColumn id="6" name="Decision state"/>
  </x:tableColumns>
  <x:tableStyleInfo name="TableStyleMedium9" showFirstColumn="0" showLastColumn="0" showRowStripes="1" showColumnStripes="0"/>
</x:table>
</file>

<file path=xl/tables/table7.xml><?xml version="1.0" encoding="utf-8"?>
<x:table xmlns:x="http://schemas.openxmlformats.org/spreadsheetml/2006/main" id="7" name="SourceReferenceTable" displayName="SourceReferenceTable" ref="A33:F42" headerRowCount="1" totalsRowCount="0" totalsRowShown="0">
  <x:tableColumns count="6">
    <x:tableColumn id="1" name="Source"/>
    <x:tableColumn id="2" name="Type"/>
    <x:tableColumn id="3" name="Locator"/>
    <x:tableColumn id="4" name="Used for"/>
    <x:tableColumn id="5" name="Hash / state"/>
    <x:tableColumn id="6" name="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PIOFrozenSourceTable" displayName="GPIOFrozenSourceTable" ref="A1:X42" headerRowCount="1" totalsRowCount="0" totalsRowShown="0">
  <x:tableColumns count="24">
    <x:tableColumn id="1" name="module_pin"/>
    <x:tableColumn id="2" name="name"/>
    <x:tableColumn id="3" name="gpio"/>
    <x:tableColumn id="4" name="exposed_on_module"/>
    <x:tableColumn id="5" name="usable_on_N8"/>
    <x:tableColumn id="6" name="constraint"/>
    <x:tableColumn id="7" name="evidence_class"/>
    <x:tableColumn id="8" name="source"/>
    <x:tableColumn id="9" name="recommended_role_class"/>
    <x:tableColumn id="10" name="source_record"/>
    <x:tableColumn id="11" name="source_claim_ids"/>
    <x:tableColumn id="12" name="allocation_status"/>
    <x:tableColumn id="13" name="wf01_assignment"/>
    <x:tableColumn id="14" name="decision_or_conflict"/>
    <x:tableColumn id="15" name="serial_topology_status"/>
    <x:tableColumn id="16" name="notes"/>
    <x:tableColumn id="17" name="g1_scope"/>
    <x:tableColumn id="18" name="g1_status"/>
    <x:tableColumn id="19" name="technical_handoff"/>
    <x:tableColumn id="20" name="technical_status"/>
    <x:tableColumn id="21" name="approval_ref"/>
    <x:tableColumn id="22" name="architecture_ref"/>
    <x:tableColumn id="23" name="verification_ref"/>
    <x:tableColumn id="24" name="pin_freeze_prerequisi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bc1dcb141743c4" /><Relationship Type="http://schemas.openxmlformats.org/officeDocument/2006/relationships/table" Target="/xl/tables/table2.xml" Id="R0a94ce4bd32d476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dd47cb3ac2b444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86417e16424f4d56" /><Relationship Type="http://schemas.openxmlformats.org/officeDocument/2006/relationships/table" Target="/xl/tables/table5.xml" Id="R4fc3b6e4dcdc41ed" /><Relationship Type="http://schemas.openxmlformats.org/officeDocument/2006/relationships/table" Target="/xl/tables/table6.xml" Id="R7433be0683b044dd" /><Relationship Type="http://schemas.openxmlformats.org/officeDocument/2006/relationships/table" Target="/xl/tables/table7.xml" Id="Rba1169bbe81141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8.xml" Id="Re329add51f5d4fc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5" hidden="0" customWidth="1"/>
    <x:col min="2" max="2" width="11.25" hidden="0" customWidth="1"/>
    <x:col min="3" max="3" width="30.6299991607666" hidden="0" customWidth="1"/>
    <x:col min="4" max="4" width="11.880000114440918" hidden="0" customWidth="1"/>
    <x:col min="5" max="5" width="11.880000114440918" hidden="0" customWidth="1"/>
    <x:col min="6" max="6" width="11.880000114440918" hidden="0" customWidth="1"/>
    <x:col min="7" max="7" width="11.880000114440918" hidden="0" customWidth="1"/>
    <x:col min="8" max="8" width="11.880000114440918" hidden="0" customWidth="1"/>
    <x:col min="9" max="9" width="11.880000114440918" hidden="0" customWidth="1"/>
    <x:col min="10" max="10" width="11.880000114440918" hidden="0" customWidth="1"/>
    <x:col min="11" max="11" width="11.880000114440918" hidden="0" customWidth="1"/>
    <x:col min="12" max="12" width="11.880000114440918" hidden="0" customWidth="1"/>
    <x:col min="13" max="13" width="11.880000114440918" hidden="0" customWidth="1"/>
    <x:col min="14" max="14" width="11.880000114440918" hidden="0" customWidth="1"/>
    <x:col min="15" max="15" width="11.880000114440918" hidden="0" customWidth="1"/>
    <x:col min="16" max="16" width="11.880000114440918" hidden="0" customWidth="1"/>
    <x:col min="17" max="17" width="11.880000114440918" hidden="0" customWidth="1"/>
    <x:col min="18" max="18" width="14.380000114440918" hidden="0" customWidth="1"/>
    <x:col min="19" max="19" width="32.5" hidden="0" customWidth="1"/>
  </x:cols>
  <x:sheetData>
    <x:row r="1" ht="30" customHeight="1">
      <x:c r="A1" s="3" t="str">
        <x:v>CF-09 Resource &amp; GPIO Budget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8" customHeight="1">
      <x:c r="A2" s="7" t="str">
        <x:v>Geçici tercih: HYB-REV10 — MIRRORED_5 varsayılan montaj, ikinci quad-UART köprü ile INDEPENDENT_10 kapasitesi. Sarı hücreler model girdileridir; kanıt sınıfı C sütunundadır.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>
      <x:c r="A4" s="12" t="str">
        <x:v>Model input</x:v>
      </x:c>
      <x:c r="B4" s="12" t="str">
        <x:v>Value</x:v>
      </x:c>
      <x:c r="C4" s="12" t="str">
        <x:v>Class / note</x:v>
      </x:c>
    </x:row>
    <x:row r="5" ht="34" customHeight="1">
      <x:c r="A5" s="17" t="str">
        <x:v>General GPIO — pad JTAG not reserved</x:v>
      </x:c>
      <x:c r="B5" s="18" t="n">
        <x:v>28</x:v>
      </x:c>
      <x:c r="C5" s="17" t="str">
        <x:v>DERIVED / CLAUDE-11</x:v>
      </x:c>
    </x:row>
    <x:row r="6" ht="34" customHeight="1">
      <x:c r="A6" s="17" t="str">
        <x:v>General GPIO — pad JTAG reserved</x:v>
      </x:c>
      <x:c r="B6" s="18" t="n">
        <x:v>24</x:v>
      </x:c>
      <x:c r="C6" s="17" t="str">
        <x:v>DERIVED / CLAUDE-11</x:v>
      </x:c>
    </x:row>
    <x:row r="7" ht="34" customHeight="1">
      <x:c r="A7" s="17" t="str">
        <x:v>Other portfolio GPIO (TFT and legacy generic OE excluded)</x:v>
      </x:c>
      <x:c r="B7" s="18" t="n">
        <x:v>13</x:v>
      </x:c>
      <x:c r="C7" s="17" t="str">
        <x:v>ASSUMPTION / CLAUDE-11 decomposition</x:v>
      </x:c>
    </x:row>
    <x:row r="8" ht="34" customHeight="1">
      <x:c r="A8" s="17" t="str">
        <x:v>Internal UART TX available to CF-09</x:v>
      </x:c>
      <x:c r="B8" s="18" t="n">
        <x:v>2</x:v>
      </x:c>
      <x:c r="C8" s="17" t="str">
        <x:v>ASSUMPTION — UART0 reserved</x:v>
      </x:c>
    </x:row>
    <x:row r="9" ht="34" customHeight="1">
      <x:c r="A9" s="17" t="str">
        <x:v>Channels per external quad-UART class</x:v>
      </x:c>
      <x:c r="B9" s="18" t="n">
        <x:v>4</x:v>
      </x:c>
      <x:c r="C9" s="17" t="str">
        <x:v>ARCHITECTURE CLASS; exact part UNKNOWN</x:v>
      </x:c>
    </x:row>
    <x:row r="10" ht="34" customHeight="1">
      <x:c r="A10" s="17" t="str">
        <x:v>SPI core GPIO (SCLK/MOSI/MISO)</x:v>
      </x:c>
      <x:c r="B10" s="18" t="n">
        <x:v>3</x:v>
      </x:c>
      <x:c r="C10" s="17" t="str">
        <x:v>ASSUMPTION</x:v>
      </x:c>
    </x:row>
    <x:row r="11" ht="34" customHeight="1">
      <x:c r="A11" s="17" t="str">
        <x:v>Safe-output enable banks</x:v>
      </x:c>
      <x:c r="B11" s="18" t="n">
        <x:v>2</x:v>
      </x:c>
      <x:c r="C11" s="17" t="str">
        <x:v>ASSUMPTION — TTL and RS-232 separate</x:v>
      </x:c>
    </x:row>
    <x:row r="12" ht="34" customHeight="1">
      <x:c r="A12" s="17" t="str">
        <x:v>Direct MCU RX GPIO — minimum</x:v>
      </x:c>
      <x:c r="B12" s="18" t="n">
        <x:v>0</x:v>
      </x:c>
      <x:c r="C12" s="17" t="str">
        <x:v>ASSUMPTION — RX terminates on bridge</x:v>
      </x:c>
    </x:row>
    <x:row r="13" ht="34" customHeight="1">
      <x:c r="A13" s="17" t="str">
        <x:v>Direct MCU RX GPIO — maximum</x:v>
      </x:c>
      <x:c r="B13" s="18" t="n">
        <x:v>1</x:v>
      </x:c>
      <x:c r="C13" s="17" t="str">
        <x:v>ASSUMPTION — RX terminates on MCU</x:v>
      </x:c>
    </x:row>
    <x:row r="14" ht="34" customHeight="1">
      <x:c r="A14" s="17" t="str">
        <x:v>Shared IRQ GPIO — minimum</x:v>
      </x:c>
      <x:c r="B14" s="18" t="n">
        <x:v>1</x:v>
      </x:c>
      <x:c r="C14" s="17" t="str">
        <x:v>ASSUMPTION</x:v>
      </x:c>
    </x:row>
    <x:row r="15" ht="34" customHeight="1">
      <x:c r="A15" s="17" t="str">
        <x:v>Shared reset/enable GPIO — minimum</x:v>
      </x:c>
      <x:c r="B15" s="18" t="n">
        <x:v>1</x:v>
      </x:c>
      <x:c r="C15" s="17" t="str">
        <x:v>ASSUMPTION</x:v>
      </x:c>
    </x:row>
    <x:row r="18" ht="46" customHeight="1">
      <x:c r="A18" s="12" t="str">
        <x:v>Mode</x:v>
      </x:c>
      <x:c r="B18" s="12" t="str">
        <x:v>K independent overrides</x:v>
      </x:c>
      <x:c r="C18" s="12" t="str">
        <x:v>Logical TX</x:v>
      </x:c>
      <x:c r="D18" s="12" t="str">
        <x:v>Physical TTL TX</x:v>
      </x:c>
      <x:c r="E18" s="12" t="str">
        <x:v>Physical RS-232 TX</x:v>
      </x:c>
      <x:c r="F18" s="12" t="str">
        <x:v>Physical RX</x:v>
      </x:c>
      <x:c r="G18" s="12" t="str">
        <x:v>Internal UART TX</x:v>
      </x:c>
      <x:c r="H18" s="12" t="str">
        <x:v>External UART TX</x:v>
      </x:c>
      <x:c r="I18" s="12" t="str">
        <x:v>Quad bridges</x:v>
      </x:c>
      <x:c r="J18" s="12" t="str">
        <x:v>CF-09 GPIO min</x:v>
      </x:c>
      <x:c r="K18" s="12" t="str">
        <x:v>CF-09 GPIO max</x:v>
      </x:c>
      <x:c r="L18" s="12" t="str">
        <x:v>Total GPIO min</x:v>
      </x:c>
      <x:c r="M18" s="12" t="str">
        <x:v>Total GPIO max</x:v>
      </x:c>
      <x:c r="N18" s="12" t="str">
        <x:v>No-JTAG residual best</x:v>
      </x:c>
      <x:c r="O18" s="12" t="str">
        <x:v>No-JTAG residual worst</x:v>
      </x:c>
      <x:c r="P18" s="12" t="str">
        <x:v>JTAG residual best</x:v>
      </x:c>
      <x:c r="Q18" s="12" t="str">
        <x:v>JTAG residual worst</x:v>
      </x:c>
      <x:c r="R18" s="12" t="str">
        <x:v>Fit status</x:v>
      </x:c>
      <x:c r="S18" s="12" t="str">
        <x:v>Interpretation</x:v>
      </x:c>
    </x:row>
    <x:row r="19" ht="46" customHeight="1">
      <x:c r="A19" s="19" t="str">
        <x:v>MIRRORED_5</x:v>
      </x:c>
      <x:c r="B19" s="15" t="n">
        <x:v>0</x:v>
      </x:c>
      <x:c r="C19" s="15" t="n">
        <x:f>5+B19</x:f>
        <x:v>5</x:v>
      </x:c>
      <x:c r="D19" s="15" t="n">
        <x:v>5</x:v>
      </x:c>
      <x:c r="E19" s="15" t="n">
        <x:v>5</x:v>
      </x:c>
      <x:c r="F19" s="15" t="n">
        <x:v>1</x:v>
      </x:c>
      <x:c r="G19" s="15" t="n">
        <x:f>MIN($B$8,C19)</x:f>
        <x:v>2</x:v>
      </x:c>
      <x:c r="H19" s="15" t="n">
        <x:f>C19-G19</x:f>
        <x:v>3</x:v>
      </x:c>
      <x:c r="I19" s="15" t="n">
        <x:f>ROUNDUP(H19/$B$9,0)</x:f>
        <x:v>1</x:v>
      </x:c>
      <x:c r="J19" s="15" t="n">
        <x:f>G19+$B$10+I19+$B$14+$B$15+$B$11+$B$12</x:f>
        <x:v>10</x:v>
      </x:c>
      <x:c r="K19" s="15" t="n">
        <x:f>G19+$B$10+I19+I19+I19+$B$11+$B$13</x:f>
        <x:v>11</x:v>
      </x:c>
      <x:c r="L19" s="15" t="n">
        <x:f>$B$7+J19</x:f>
        <x:v>23</x:v>
      </x:c>
      <x:c r="M19" s="15" t="n">
        <x:f>$B$7+K19</x:f>
        <x:v>24</x:v>
      </x:c>
      <x:c r="N19" s="15" t="n">
        <x:f>$B$5-L19</x:f>
        <x:v>5</x:v>
      </x:c>
      <x:c r="O19" s="15" t="n">
        <x:f>$B$5-M19</x:f>
        <x:v>4</x:v>
      </x:c>
      <x:c r="P19" s="15" t="n">
        <x:f>$B$6-L19</x:f>
        <x:v>1</x:v>
      </x:c>
      <x:c r="Q19" s="15" t="n">
        <x:f>$B$6-M19</x:f>
        <x:v>0</x:v>
      </x:c>
      <x:c r="R19" s="15" t="str">
        <x:f>IF(Q19&gt;=0,"FITS_RANGE",IF(P19&gt;=0,"CONDITIONAL","SHORT"))</x:f>
        <x:v>FITS_RANGE</x:v>
      </x:c>
      <x:c r="S19" s="17" t="str">
        <x:v>Default assembly; bridge B may be DNP</x:v>
      </x:c>
    </x:row>
    <x:row r="20" ht="46" customHeight="1">
      <x:c r="A20" s="19" t="str">
        <x:v>HYBRID_5_PLUS_1</x:v>
      </x:c>
      <x:c r="B20" s="15" t="n">
        <x:v>1</x:v>
      </x:c>
      <x:c r="C20" s="15" t="n">
        <x:f>5+B20</x:f>
        <x:v>6</x:v>
      </x:c>
      <x:c r="D20" s="15" t="n">
        <x:v>5</x:v>
      </x:c>
      <x:c r="E20" s="15" t="n">
        <x:v>5</x:v>
      </x:c>
      <x:c r="F20" s="15" t="n">
        <x:v>1</x:v>
      </x:c>
      <x:c r="G20" s="15" t="n">
        <x:f>MIN($B$8,C20)</x:f>
        <x:v>2</x:v>
      </x:c>
      <x:c r="H20" s="15" t="n">
        <x:f>C20-G20</x:f>
        <x:v>4</x:v>
      </x:c>
      <x:c r="I20" s="15" t="n">
        <x:f>ROUNDUP(H20/$B$9,0)</x:f>
        <x:v>1</x:v>
      </x:c>
      <x:c r="J20" s="15" t="n">
        <x:f>G20+$B$10+I20+$B$14+$B$15+$B$11+$B$12</x:f>
        <x:v>10</x:v>
      </x:c>
      <x:c r="K20" s="15" t="n">
        <x:f>G20+$B$10+I20+I20+I20+$B$11+$B$13</x:f>
        <x:v>11</x:v>
      </x:c>
      <x:c r="L20" s="15" t="n">
        <x:f>$B$7+J20</x:f>
        <x:v>23</x:v>
      </x:c>
      <x:c r="M20" s="15" t="n">
        <x:f>$B$7+K20</x:f>
        <x:v>24</x:v>
      </x:c>
      <x:c r="N20" s="15" t="n">
        <x:f>$B$5-L20</x:f>
        <x:v>5</x:v>
      </x:c>
      <x:c r="O20" s="15" t="n">
        <x:f>$B$5-M20</x:f>
        <x:v>4</x:v>
      </x:c>
      <x:c r="P20" s="15" t="n">
        <x:f>$B$6-L20</x:f>
        <x:v>1</x:v>
      </x:c>
      <x:c r="Q20" s="15" t="n">
        <x:f>$B$6-M20</x:f>
        <x:v>0</x:v>
      </x:c>
      <x:c r="R20" s="15" t="str">
        <x:f>IF(Q20&gt;=0,"FITS_RANGE",IF(P20&gt;=0,"CONDITIONAL","SHORT"))</x:f>
        <x:v>FITS_RANGE</x:v>
      </x:c>
      <x:c r="S20" s="17" t="str">
        <x:v>One RS-232 lane independent</x:v>
      </x:c>
    </x:row>
    <x:row r="21" ht="46" customHeight="1">
      <x:c r="A21" s="19" t="str">
        <x:v>HYBRID_5_PLUS_2</x:v>
      </x:c>
      <x:c r="B21" s="15" t="n">
        <x:v>2</x:v>
      </x:c>
      <x:c r="C21" s="15" t="n">
        <x:f>5+B21</x:f>
        <x:v>7</x:v>
      </x:c>
      <x:c r="D21" s="15" t="n">
        <x:v>5</x:v>
      </x:c>
      <x:c r="E21" s="15" t="n">
        <x:v>5</x:v>
      </x:c>
      <x:c r="F21" s="15" t="n">
        <x:v>1</x:v>
      </x:c>
      <x:c r="G21" s="15" t="n">
        <x:f>MIN($B$8,C21)</x:f>
        <x:v>2</x:v>
      </x:c>
      <x:c r="H21" s="15" t="n">
        <x:f>C21-G21</x:f>
        <x:v>5</x:v>
      </x:c>
      <x:c r="I21" s="15" t="n">
        <x:f>ROUNDUP(H21/$B$9,0)</x:f>
        <x:v>2</x:v>
      </x:c>
      <x:c r="J21" s="15" t="n">
        <x:f>G21+$B$10+I21+$B$14+$B$15+$B$11+$B$12</x:f>
        <x:v>11</x:v>
      </x:c>
      <x:c r="K21" s="15" t="n">
        <x:f>G21+$B$10+I21+I21+I21+$B$11+$B$13</x:f>
        <x:v>14</x:v>
      </x:c>
      <x:c r="L21" s="15" t="n">
        <x:f>$B$7+J21</x:f>
        <x:v>24</x:v>
      </x:c>
      <x:c r="M21" s="15" t="n">
        <x:f>$B$7+K21</x:f>
        <x:v>27</x:v>
      </x:c>
      <x:c r="N21" s="15" t="n">
        <x:f>$B$5-L21</x:f>
        <x:v>4</x:v>
      </x:c>
      <x:c r="O21" s="15" t="n">
        <x:f>$B$5-M21</x:f>
        <x:v>1</x:v>
      </x:c>
      <x:c r="P21" s="15" t="n">
        <x:f>$B$6-L21</x:f>
        <x:v>0</x:v>
      </x:c>
      <x:c r="Q21" s="15" t="n">
        <x:f>$B$6-M21</x:f>
        <x:v>-3</x:v>
      </x:c>
      <x:c r="R21" s="15" t="str">
        <x:f>IF(Q21&gt;=0,"FITS_RANGE",IF(P21&gt;=0,"CONDITIONAL","SHORT"))</x:f>
        <x:v>CONDITIONAL</x:v>
      </x:c>
      <x:c r="S21" s="17" t="str">
        <x:v>Second bridge becomes necessary</x:v>
      </x:c>
    </x:row>
    <x:row r="22" ht="46" customHeight="1">
      <x:c r="A22" s="19" t="str">
        <x:v>HYBRID_5_PLUS_3</x:v>
      </x:c>
      <x:c r="B22" s="15" t="n">
        <x:v>3</x:v>
      </x:c>
      <x:c r="C22" s="15" t="n">
        <x:f>5+B22</x:f>
        <x:v>8</x:v>
      </x:c>
      <x:c r="D22" s="15" t="n">
        <x:v>5</x:v>
      </x:c>
      <x:c r="E22" s="15" t="n">
        <x:v>5</x:v>
      </x:c>
      <x:c r="F22" s="15" t="n">
        <x:v>1</x:v>
      </x:c>
      <x:c r="G22" s="15" t="n">
        <x:f>MIN($B$8,C22)</x:f>
        <x:v>2</x:v>
      </x:c>
      <x:c r="H22" s="15" t="n">
        <x:f>C22-G22</x:f>
        <x:v>6</x:v>
      </x:c>
      <x:c r="I22" s="15" t="n">
        <x:f>ROUNDUP(H22/$B$9,0)</x:f>
        <x:v>2</x:v>
      </x:c>
      <x:c r="J22" s="15" t="n">
        <x:f>G22+$B$10+I22+$B$14+$B$15+$B$11+$B$12</x:f>
        <x:v>11</x:v>
      </x:c>
      <x:c r="K22" s="15" t="n">
        <x:f>G22+$B$10+I22+I22+I22+$B$11+$B$13</x:f>
        <x:v>14</x:v>
      </x:c>
      <x:c r="L22" s="15" t="n">
        <x:f>$B$7+J22</x:f>
        <x:v>24</x:v>
      </x:c>
      <x:c r="M22" s="15" t="n">
        <x:f>$B$7+K22</x:f>
        <x:v>27</x:v>
      </x:c>
      <x:c r="N22" s="15" t="n">
        <x:f>$B$5-L22</x:f>
        <x:v>4</x:v>
      </x:c>
      <x:c r="O22" s="15" t="n">
        <x:f>$B$5-M22</x:f>
        <x:v>1</x:v>
      </x:c>
      <x:c r="P22" s="15" t="n">
        <x:f>$B$6-L22</x:f>
        <x:v>0</x:v>
      </x:c>
      <x:c r="Q22" s="15" t="n">
        <x:f>$B$6-M22</x:f>
        <x:v>-3</x:v>
      </x:c>
      <x:c r="R22" s="15" t="str">
        <x:f>IF(Q22&gt;=0,"FITS_RANGE",IF(P22&gt;=0,"CONDITIONAL","SHORT"))</x:f>
        <x:v>CONDITIONAL</x:v>
      </x:c>
      <x:c r="S22" s="17" t="str">
        <x:v>Two bridges</x:v>
      </x:c>
    </x:row>
    <x:row r="23" ht="46" customHeight="1">
      <x:c r="A23" s="19" t="str">
        <x:v>HYBRID_5_PLUS_4</x:v>
      </x:c>
      <x:c r="B23" s="15" t="n">
        <x:v>4</x:v>
      </x:c>
      <x:c r="C23" s="15" t="n">
        <x:f>5+B23</x:f>
        <x:v>9</x:v>
      </x:c>
      <x:c r="D23" s="15" t="n">
        <x:v>5</x:v>
      </x:c>
      <x:c r="E23" s="15" t="n">
        <x:v>5</x:v>
      </x:c>
      <x:c r="F23" s="15" t="n">
        <x:v>1</x:v>
      </x:c>
      <x:c r="G23" s="15" t="n">
        <x:f>MIN($B$8,C23)</x:f>
        <x:v>2</x:v>
      </x:c>
      <x:c r="H23" s="15" t="n">
        <x:f>C23-G23</x:f>
        <x:v>7</x:v>
      </x:c>
      <x:c r="I23" s="15" t="n">
        <x:f>ROUNDUP(H23/$B$9,0)</x:f>
        <x:v>2</x:v>
      </x:c>
      <x:c r="J23" s="15" t="n">
        <x:f>G23+$B$10+I23+$B$14+$B$15+$B$11+$B$12</x:f>
        <x:v>11</x:v>
      </x:c>
      <x:c r="K23" s="15" t="n">
        <x:f>G23+$B$10+I23+I23+I23+$B$11+$B$13</x:f>
        <x:v>14</x:v>
      </x:c>
      <x:c r="L23" s="15" t="n">
        <x:f>$B$7+J23</x:f>
        <x:v>24</x:v>
      </x:c>
      <x:c r="M23" s="15" t="n">
        <x:f>$B$7+K23</x:f>
        <x:v>27</x:v>
      </x:c>
      <x:c r="N23" s="15" t="n">
        <x:f>$B$5-L23</x:f>
        <x:v>4</x:v>
      </x:c>
      <x:c r="O23" s="15" t="n">
        <x:f>$B$5-M23</x:f>
        <x:v>1</x:v>
      </x:c>
      <x:c r="P23" s="15" t="n">
        <x:f>$B$6-L23</x:f>
        <x:v>0</x:v>
      </x:c>
      <x:c r="Q23" s="15" t="n">
        <x:f>$B$6-M23</x:f>
        <x:v>-3</x:v>
      </x:c>
      <x:c r="R23" s="15" t="str">
        <x:f>IF(Q23&gt;=0,"FITS_RANGE",IF(P23&gt;=0,"CONDITIONAL","SHORT"))</x:f>
        <x:v>CONDITIONAL</x:v>
      </x:c>
      <x:c r="S23" s="17" t="str">
        <x:v>Two bridges</x:v>
      </x:c>
    </x:row>
    <x:row r="24" ht="46" customHeight="1">
      <x:c r="A24" s="19" t="str">
        <x:v>INDEPENDENT_10</x:v>
      </x:c>
      <x:c r="B24" s="15" t="n">
        <x:v>5</x:v>
      </x:c>
      <x:c r="C24" s="15" t="n">
        <x:f>5+B24</x:f>
        <x:v>10</x:v>
      </x:c>
      <x:c r="D24" s="15" t="n">
        <x:v>5</x:v>
      </x:c>
      <x:c r="E24" s="15" t="n">
        <x:v>5</x:v>
      </x:c>
      <x:c r="F24" s="15" t="n">
        <x:v>1</x:v>
      </x:c>
      <x:c r="G24" s="15" t="n">
        <x:f>MIN($B$8,C24)</x:f>
        <x:v>2</x:v>
      </x:c>
      <x:c r="H24" s="15" t="n">
        <x:f>C24-G24</x:f>
        <x:v>8</x:v>
      </x:c>
      <x:c r="I24" s="15" t="n">
        <x:f>ROUNDUP(H24/$B$9,0)</x:f>
        <x:v>2</x:v>
      </x:c>
      <x:c r="J24" s="15" t="n">
        <x:f>G24+$B$10+I24+$B$14+$B$15+$B$11+$B$12</x:f>
        <x:v>11</x:v>
      </x:c>
      <x:c r="K24" s="15" t="n">
        <x:f>G24+$B$10+I24+I24+I24+$B$11+$B$13</x:f>
        <x:v>14</x:v>
      </x:c>
      <x:c r="L24" s="15" t="n">
        <x:f>$B$7+J24</x:f>
        <x:v>24</x:v>
      </x:c>
      <x:c r="M24" s="15" t="n">
        <x:f>$B$7+K24</x:f>
        <x:v>27</x:v>
      </x:c>
      <x:c r="N24" s="15" t="n">
        <x:f>$B$5-L24</x:f>
        <x:v>4</x:v>
      </x:c>
      <x:c r="O24" s="15" t="n">
        <x:f>$B$5-M24</x:f>
        <x:v>1</x:v>
      </x:c>
      <x:c r="P24" s="15" t="n">
        <x:f>$B$6-L24</x:f>
        <x:v>0</x:v>
      </x:c>
      <x:c r="Q24" s="15" t="n">
        <x:f>$B$6-M24</x:f>
        <x:v>-3</x:v>
      </x:c>
      <x:c r="R24" s="15" t="str">
        <x:f>IF(Q24&gt;=0,"FITS_RANGE",IF(P24&gt;=0,"CONDITIONAL","SHORT"))</x:f>
        <x:v>CONDITIONAL</x:v>
      </x:c>
      <x:c r="S24" s="17" t="str">
        <x:v>Capacity upper bound; RX shares one TX channel configuration</x:v>
      </x:c>
    </x:row>
    <x:row r="25" ht="46" customHeight="1">
      <x:c r="A25" s="19" t="str">
        <x:v>INDEPENDENT_10_DEDICATED_RX</x:v>
      </x:c>
      <x:c r="B25" s="15" t="n">
        <x:v>5</x:v>
      </x:c>
      <x:c r="C25" s="15" t="n">
        <x:f>10</x:f>
        <x:v>10</x:v>
      </x:c>
      <x:c r="D25" s="15" t="n">
        <x:v>5</x:v>
      </x:c>
      <x:c r="E25" s="15" t="n">
        <x:v>5</x:v>
      </x:c>
      <x:c r="F25" s="15" t="n">
        <x:v>1</x:v>
      </x:c>
      <x:c r="G25" s="15" t="n">
        <x:f>$B$8</x:f>
        <x:v>2</x:v>
      </x:c>
      <x:c r="H25" s="15" t="n">
        <x:f>C25-G25</x:f>
        <x:v>8</x:v>
      </x:c>
      <x:c r="I25" s="15" t="n">
        <x:f>3</x:f>
        <x:v>3</x:v>
      </x:c>
      <x:c r="J25" s="15" t="n">
        <x:f>G25+$B$10+I25+$B$14+$B$15+$B$11</x:f>
        <x:v>12</x:v>
      </x:c>
      <x:c r="K25" s="15" t="n">
        <x:f>G25+$B$10+I25+I25+I25+$B$11</x:f>
        <x:v>16</x:v>
      </x:c>
      <x:c r="L25" s="15" t="n">
        <x:f>$B$7+J25</x:f>
        <x:v>25</x:v>
      </x:c>
      <x:c r="M25" s="15" t="n">
        <x:f>$B$7+K25</x:f>
        <x:v>29</x:v>
      </x:c>
      <x:c r="N25" s="15" t="n">
        <x:f>$B$5-L25</x:f>
        <x:v>3</x:v>
      </x:c>
      <x:c r="O25" s="15" t="n">
        <x:f>$B$5-M25</x:f>
        <x:v>-1</x:v>
      </x:c>
      <x:c r="P25" s="15" t="n">
        <x:f>$B$6-L25</x:f>
        <x:v>-1</x:v>
      </x:c>
      <x:c r="Q25" s="15" t="n">
        <x:f>$B$6-M25</x:f>
        <x:v>-5</x:v>
      </x:c>
      <x:c r="R25" s="15" t="str">
        <x:f>IF(Q25&gt;=0,"FITS_RANGE",IF(P25&gt;=0,"CONDITIONAL","SHORT"))</x:f>
        <x:v>SHORT</x:v>
      </x:c>
      <x:c r="S25" s="17" t="str">
        <x:v>Independent RX needs ninth external UART channel; third bridge sensitivity</x:v>
      </x:c>
    </x:row>
    <x:row r="26" ht="46" customHeight="1">
      <x:c r="A26" s="19" t="str">
        <x:v>INDEPENDENT_10_ALL_EXTERNAL</x:v>
      </x:c>
      <x:c r="B26" s="15" t="n">
        <x:v>5</x:v>
      </x:c>
      <x:c r="C26" s="15" t="n">
        <x:f>10</x:f>
        <x:v>10</x:v>
      </x:c>
      <x:c r="D26" s="15" t="n">
        <x:v>5</x:v>
      </x:c>
      <x:c r="E26" s="15" t="n">
        <x:v>5</x:v>
      </x:c>
      <x:c r="F26" s="15" t="n">
        <x:v>1</x:v>
      </x:c>
      <x:c r="G26" s="15" t="n">
        <x:f>0</x:f>
        <x:v>0</x:v>
      </x:c>
      <x:c r="H26" s="15" t="n">
        <x:f>10</x:f>
        <x:v>10</x:v>
      </x:c>
      <x:c r="I26" s="15" t="n">
        <x:f>3</x:f>
        <x:v>3</x:v>
      </x:c>
      <x:c r="J26" s="15" t="n">
        <x:f>$B$10+I26+$B$14+$B$15+$B$11</x:f>
        <x:v>10</x:v>
      </x:c>
      <x:c r="K26" s="15" t="n">
        <x:f>$B$10+I26+I26+I26+$B$11+$B$13</x:f>
        <x:v>15</x:v>
      </x:c>
      <x:c r="L26" s="15" t="n">
        <x:f>$B$7+J26</x:f>
        <x:v>23</x:v>
      </x:c>
      <x:c r="M26" s="15" t="n">
        <x:f>$B$7+K26</x:f>
        <x:v>28</x:v>
      </x:c>
      <x:c r="N26" s="15" t="n">
        <x:f>$B$5-L26</x:f>
        <x:v>5</x:v>
      </x:c>
      <x:c r="O26" s="15" t="n">
        <x:f>$B$5-M26</x:f>
        <x:v>0</x:v>
      </x:c>
      <x:c r="P26" s="15" t="n">
        <x:f>$B$6-L26</x:f>
        <x:v>1</x:v>
      </x:c>
      <x:c r="Q26" s="15" t="n">
        <x:f>$B$6-M26</x:f>
        <x:v>-4</x:v>
      </x:c>
      <x:c r="R26" s="15" t="str">
        <x:f>IF(Q26&gt;=0,"FITS_RANGE",IF(P26&gt;=0,"CONDITIONAL","SHORT"))</x:f>
        <x:v>CONDITIONAL</x:v>
      </x:c>
      <x:c r="S26" s="17" t="str">
        <x:v>3xquad or 2xquad+1xdual TX fabric; optional direct MCU RX</x:v>
      </x:c>
    </x:row>
    <x:row r="28" ht="48" customHeight="1">
      <x:c r="A28" s="12" t="str">
        <x:v>Option</x:v>
      </x:c>
      <x:c r="B28" s="12" t="str">
        <x:v>Logical / physical</x:v>
      </x:c>
      <x:c r="C28" s="12" t="str">
        <x:v>Resource shape</x:v>
      </x:c>
      <x:c r="D28" s="12" t="str">
        <x:v>RMT credit</x:v>
      </x:c>
      <x:c r="E28" s="12" t="str">
        <x:v>Boot/fault profile</x:v>
      </x:c>
      <x:c r="F28" s="12" t="str">
        <x:v>Technical outcome</x:v>
      </x:c>
    </x:row>
    <x:row r="29" ht="48" customHeight="1">
      <x:c r="A29" s="17" t="str">
        <x:v>MIRRORED_5 logic fan-out</x:v>
      </x:c>
      <x:c r="B29" s="17" t="str">
        <x:v>5 logical / 10 TX / 1 RX</x:v>
      </x:c>
      <x:c r="C29" s="17" t="str">
        <x:v>2 local + 3 bridge TX</x:v>
      </x:c>
      <x:c r="D29" s="17" t="n">
        <x:v>0</x:v>
      </x:c>
      <x:c r="E29" s="17" t="str">
        <x:v>Lowest external bus load; hardware OE required</x:v>
      </x:c>
      <x:c r="F29" s="20" t="str">
        <x:v>PREFERRED DEFAULT</x:v>
      </x:c>
    </x:row>
    <x:row r="30" ht="48" customHeight="1">
      <x:c r="A30" s="17" t="str">
        <x:v>MIRRORED_5 software copy</x:v>
      </x:c>
      <x:c r="B30" s="17" t="str">
        <x:v>5 logical / 10 serializers</x:v>
      </x:c>
      <x:c r="C30" s="17" t="str">
        <x:v>2 local + 8 bridge TX</x:v>
      </x:c>
      <x:c r="D30" s="17" t="n">
        <x:v>0</x:v>
      </x:c>
      <x:c r="E30" s="17" t="str">
        <x:v>Double queues and pair skew</x:v>
      </x:c>
      <x:c r="F30" s="20" t="str">
        <x:v>NOT PREFERRED</x:v>
      </x:c>
    </x:row>
    <x:row r="31" ht="48" customHeight="1">
      <x:c r="A31" s="17" t="str">
        <x:v>INDEPENDENT_10 hybrid</x:v>
      </x:c>
      <x:c r="B31" s="17" t="str">
        <x:v>10 logical / 10 TX / 1 RX</x:v>
      </x:c>
      <x:c r="C31" s="17" t="str">
        <x:v>2 local + 8 bridge TX</x:v>
      </x:c>
      <x:c r="D31" s="17" t="n">
        <x:v>0</x:v>
      </x:c>
      <x:c r="E31" s="17" t="str">
        <x:v>Shared SPI fault domain; heterogeneous service</x:v>
      </x:c>
      <x:c r="F31" s="20" t="str">
        <x:v>PREFERRED CAPACITY</x:v>
      </x:c>
    </x:row>
    <x:row r="32" ht="48" customHeight="1">
      <x:c r="A32" s="17" t="str">
        <x:v>INDEPENDENT_10 dedicated RX</x:v>
      </x:c>
      <x:c r="B32" s="17" t="str">
        <x:v>10 logical TX + 1 independently configured RX</x:v>
      </x:c>
      <x:c r="C32" s="17" t="str">
        <x:v>2 local + 8 bridge TX + ninth external UART channel</x:v>
      </x:c>
      <x:c r="D32" s="17" t="n">
        <x:v>0</x:v>
      </x:c>
      <x:c r="E32" s="17" t="str">
        <x:v>Third bridge/separate RX serializer; GPIO and bus grow</x:v>
      </x:c>
      <x:c r="F32" s="20" t="str">
        <x:v>CONDITIONAL FALLBACK</x:v>
      </x:c>
    </x:row>
    <x:row r="33" ht="48" customHeight="1">
      <x:c r="A33" s="17" t="str">
        <x:v>INDEPENDENT_10 all-external</x:v>
      </x:c>
      <x:c r="B33" s="17" t="str">
        <x:v>10 logical / 10 TX / 1 RX</x:v>
      </x:c>
      <x:c r="C33" s="17" t="str">
        <x:v>3xquad or 2xquad+1xdual; independent bridge RX prefers 3xquad</x:v>
      </x:c>
      <x:c r="D33" s="17" t="n">
        <x:v>0</x:v>
      </x:c>
      <x:c r="E33" s="17" t="str">
        <x:v>Local UART1/2 remain free; more bus load and devices</x:v>
      </x:c>
      <x:c r="F33" s="20" t="str">
        <x:v>FALLBACK</x:v>
      </x:c>
    </x:row>
    <x:row r="34" ht="48" customHeight="1">
      <x:c r="A34" s="17" t="str">
        <x:v>2 UART + 3 RMT</x:v>
      </x:c>
      <x:c r="B34" s="17" t="str">
        <x:v>5 logical / 10 mirrored TX</x:v>
      </x:c>
      <x:c r="C34" s="17" t="str">
        <x:v>Local timing engines</x:v>
      </x:c>
      <x:c r="D34" s="17" t="n">
        <x:v>0</x:v>
      </x:c>
      <x:c r="E34" s="17" t="str">
        <x:v>Custom encoder and ISR stress unproven</x:v>
      </x:c>
      <x:c r="F34" s="20" t="str">
        <x:v>LAB A/B ONLY</x:v>
      </x:c>
    </x:row>
    <x:row r="35" ht="48" customHeight="1">
      <x:c r="A35" s="17" t="str">
        <x:v>Internal-only INDEPENDENT_10</x:v>
      </x:c>
      <x:c r="B35" s="17" t="str">
        <x:v>10 logical required</x:v>
      </x:c>
      <x:c r="C35" s="17" t="str">
        <x:v>2 UART + max 4 RMT = 6</x:v>
      </x:c>
      <x:c r="D35" s="17" t="n">
        <x:v>0</x:v>
      </x:c>
      <x:c r="E35" s="17" t="str">
        <x:v>Channel arithmetic insufficient</x:v>
      </x:c>
      <x:c r="F35" s="20" t="str">
        <x:v>BLOCKED</x:v>
      </x:c>
    </x:row>
    <x:row r="36" ht="48" customHeight="1">
      <x:c r="A36" s="17" t="str">
        <x:v>Helper MCU/FPGA</x:v>
      </x:c>
      <x:c r="B36" s="17" t="str">
        <x:v>5 or 10 logical</x:v>
      </x:c>
      <x:c r="C36" s="17" t="str">
        <x:v>Second programmable serializer</x:v>
      </x:c>
      <x:c r="D36" s="17" t="n">
        <x:v>0</x:v>
      </x:c>
      <x:c r="E36" s="17" t="str">
        <x:v>Second firmware, IPC, watchdog</x:v>
      </x:c>
      <x:c r="F36" s="20" t="str">
        <x:v>FUNCTIONAL FALLBACK</x:v>
      </x:c>
    </x:row>
    <x:row r="38">
      <x:c r="A38" s="12" t="str">
        <x:v>Technical check</x:v>
      </x:c>
      <x:c r="B38" s="12" t="str">
        <x:v>Status</x:v>
      </x:c>
      <x:c r="C38" s="12" t="str">
        <x:v>Meaning</x:v>
      </x:c>
    </x:row>
    <x:row r="39">
      <x:c r="A39" s="15" t="str">
        <x:v>Parametric resource model</x:v>
      </x:c>
      <x:c r="B39" s="19" t="str">
        <x:v>PASS</x:v>
      </x:c>
      <x:c r="C39" s="15" t="str">
        <x:v>41 GPIO source rows and architecture invariants verified</x:v>
      </x:c>
    </x:row>
    <x:row r="40">
      <x:c r="A40" s="15" t="str">
        <x:v>HYB-REV10 topology</x:v>
      </x:c>
      <x:c r="B40" s="19" t="str">
        <x:v>PROVISIONAL</x:v>
      </x:c>
      <x:c r="C40" s="15" t="str">
        <x:v>Channel arithmetic closes; exact part and bench remain open</x:v>
      </x:c>
    </x:row>
    <x:row r="41">
      <x:c r="A41" s="15" t="str">
        <x:v>Dedicated independent RX</x:v>
      </x:c>
      <x:c r="B41" s="19" t="str">
        <x:v>CONDITIONAL</x:v>
      </x:c>
      <x:c r="C41" s="15" t="str">
        <x:v>Needs ninth external UART channel; three quad-class bridges in sensitivity model</x:v>
      </x:c>
    </x:row>
    <x:row r="42">
      <x:c r="A42" s="15" t="str">
        <x:v>All-external INDEPENDENT_10</x:v>
      </x:c>
      <x:c r="B42" s="19" t="str">
        <x:v>PROVISIONAL</x:v>
      </x:c>
      <x:c r="C42" s="15" t="str">
        <x:v>3xquad or 2xquad+1xdual; local RX remains available</x:v>
      </x:c>
    </x:row>
    <x:row r="43">
      <x:c r="A43" s="15" t="str">
        <x:v>Internal-only INDEPENDENT_10</x:v>
      </x:c>
      <x:c r="B43" s="19" t="str">
        <x:v>BLOCKED</x:v>
      </x:c>
      <x:c r="C43" s="15" t="str">
        <x:v>2 UART + 4 RMT is below 10 TX</x:v>
      </x:c>
    </x:row>
    <x:row r="44">
      <x:c r="A44" s="15" t="str">
        <x:v>External bridge bench</x:v>
      </x:c>
      <x:c r="B44" s="19" t="str">
        <x:v>NOT_RUN</x:v>
      </x:c>
      <x:c r="C44" s="15" t="str">
        <x:v>Evaluation hardware not yet selected</x:v>
      </x:c>
    </x:row>
    <x:row r="45">
      <x:c r="A45" s="15" t="str">
        <x:v>Exact part and pin freeze</x:v>
      </x:c>
      <x:c r="B45" s="19" t="str">
        <x:v>UNKNOWN</x:v>
      </x:c>
      <x:c r="C45" s="15" t="str">
        <x:v>Electrical and lifecycle evidence required</x:v>
      </x:c>
    </x:row>
  </x:sheetData>
  <x:mergeCells>
    <x:mergeCell ref="A1:S1"/>
    <x:mergeCell ref="A2:S2"/>
  </x:mergeCells>
  <x:conditionalFormatting sqref="R19:R26">
    <x:cfRule type="containsText" dxfId="0" priority="1" operator="containsText" text="FITS_RANGE"/>
    <x:cfRule type="containsText" dxfId="1" priority="2" operator="containsText" text="CONDITIONAL"/>
    <x:cfRule type="containsText" dxfId="2" priority="3" operator="containsText" text="SHORT"/>
  </x:conditionalFormatting>
  <x:pageMargins left="0.7" right="0.7" top="0.75" bottom="0.75" header="0.3" footer="0.3"/>
  <x:tableParts count="2">
    <x:tablePart xmlns:r="http://schemas.openxmlformats.org/officeDocument/2006/relationships" r:id="R8bbc1dcb141743c4"/>
    <x:tablePart xmlns:r="http://schemas.openxmlformats.org/officeDocument/2006/relationships" r:id="R0a94ce4bd32d476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2.5" hidden="0" customWidth="1"/>
    <x:col min="2" max="2" width="11.25" hidden="0" customWidth="1"/>
    <x:col min="3" max="3" width="12.5" hidden="0" customWidth="1"/>
    <x:col min="4" max="4" width="21.25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  <x:col min="9" max="9" width="30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18.75" hidden="0" customWidth="1"/>
  </x:cols>
  <x:sheetData>
    <x:row r="1" ht="30" customHeight="1">
      <x:c r="A1" s="3" t="str">
        <x:v>CF-09 Bus &amp; FIFO Sensitivity</x:v>
      </x:c>
      <x:c r="B1" s="3"/>
      <x:c r="C1" s="3"/>
      <x:c r="D1" s="3"/>
      <x:c r="E1" s="3"/>
      <x:c r="F1" s="3"/>
      <x:c r="G1" s="3"/>
      <x:c r="H1" s="3"/>
      <x:c r="I1" s="3"/>
    </x:row>
    <x:row r="2" ht="38" customHeight="1">
      <x:c r="A2" s="7" t="str">
        <x:v>All numeric traffic points are ASSUMPTION / MODEL_ONLY and model TX traffic only. RX/status/IRQ/retry/fault overhead is excluded. A screen pass is not a hardware capacity PASS.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12" t="str">
        <x:v>Model input</x:v>
      </x:c>
      <x:c r="B4" s="12" t="str">
        <x:v>Value</x:v>
      </x:c>
      <x:c r="C4" s="12" t="str">
        <x:v>Class / note</x:v>
      </x:c>
      <x:c r="K4" s="12" t="str">
        <x:v>FIFO karakter girdisi (model)</x:v>
      </x:c>
      <x:c r="L4" s="12" t="str">
        <x:v>Baud vector</x:v>
      </x:c>
      <x:c r="M4" s="12" t="str">
        <x:v>Full FIFO time ms</x:v>
      </x:c>
      <x:c r="N4" s="12" t="str">
        <x:v>Half-FIFO service ms</x:v>
      </x:c>
    </x:row>
    <x:row r="5">
      <x:c r="A5" s="15" t="str">
        <x:v>UART frame bits</x:v>
      </x:c>
      <x:c r="B5" s="16" t="n">
        <x:v>10</x:v>
      </x:c>
      <x:c r="C5" s="15" t="str">
        <x:v>ASSUMPTION — 8N1 sensitivity</x:v>
      </x:c>
      <x:c r="K5" s="16" t="n">
        <x:v>64</x:v>
      </x:c>
      <x:c r="L5" s="16" t="n">
        <x:v>9600</x:v>
      </x:c>
      <x:c r="M5" s="25" t="n">
        <x:f>K5*$B$5/L5*1000</x:f>
        <x:v>66.66666666666667</x:v>
      </x:c>
      <x:c r="N5" s="25" t="n">
        <x:f>M5/2</x:f>
        <x:v>33.333333333333336</x:v>
      </x:c>
    </x:row>
    <x:row r="6">
      <x:c r="A6" s="15" t="str">
        <x:v>Duty cycle</x:v>
      </x:c>
      <x:c r="B6" s="21" t="n">
        <x:v>1</x:v>
      </x:c>
      <x:c r="C6" s="15" t="str">
        <x:v>ASSUMPTION — all channels continuous</x:v>
      </x:c>
      <x:c r="K6" s="16" t="n">
        <x:v>64</x:v>
      </x:c>
      <x:c r="L6" s="16" t="n">
        <x:v>115200</x:v>
      </x:c>
      <x:c r="M6" s="25" t="n">
        <x:f>K6*$B$5/L6*1000</x:f>
        <x:v>5.555555555555555</x:v>
      </x:c>
      <x:c r="N6" s="25" t="n">
        <x:f>M6/2</x:f>
        <x:v>2.7777777777777777</x:v>
      </x:c>
    </x:row>
    <x:row r="7">
      <x:c r="A7" s="15" t="str">
        <x:v>Host bits per UART byte</x:v>
      </x:c>
      <x:c r="B7" s="16" t="n">
        <x:v>16</x:v>
      </x:c>
      <x:c r="C7" s="15" t="str">
        <x:v>ASSUMPTION — conservative register/address envelope</x:v>
      </x:c>
      <x:c r="K7" s="16" t="n">
        <x:v>64</x:v>
      </x:c>
      <x:c r="L7" s="16" t="n">
        <x:v>1000000</x:v>
      </x:c>
      <x:c r="M7" s="25" t="n">
        <x:f>K7*$B$5/L7*1000</x:f>
        <x:v>0.64</x:v>
      </x:c>
      <x:c r="N7" s="25" t="n">
        <x:f>M7/2</x:f>
        <x:v>0.32</x:v>
      </x:c>
    </x:row>
    <x:row r="8">
      <x:c r="A8" s="15" t="str">
        <x:v>Transport guard</x:v>
      </x:c>
      <x:c r="B8" s="22" t="n">
        <x:v>1.25</x:v>
      </x:c>
      <x:c r="C8" s="15" t="str">
        <x:v>ASSUMPTION</x:v>
      </x:c>
      <x:c r="K8" s="16" t="n">
        <x:v>128</x:v>
      </x:c>
      <x:c r="L8" s="16" t="n">
        <x:v>9600</x:v>
      </x:c>
      <x:c r="M8" s="25" t="n">
        <x:f>K8*$B$5/L8*1000</x:f>
        <x:v>133.33333333333334</x:v>
      </x:c>
      <x:c r="N8" s="25" t="n">
        <x:f>M8/2</x:f>
        <x:v>66.66666666666667</x:v>
      </x:c>
    </x:row>
    <x:row r="9">
      <x:c r="A9" s="15" t="str">
        <x:v>Planning utilization limit</x:v>
      </x:c>
      <x:c r="B9" s="21" t="n">
        <x:v>0.7</x:v>
      </x:c>
      <x:c r="C9" s="15" t="str">
        <x:v>INTERNAL_RULE / model screen</x:v>
      </x:c>
      <x:c r="K9" s="16" t="n">
        <x:v>128</x:v>
      </x:c>
      <x:c r="L9" s="16" t="n">
        <x:v>115200</x:v>
      </x:c>
      <x:c r="M9" s="25" t="n">
        <x:f>K9*$B$5/L9*1000</x:f>
        <x:v>11.11111111111111</x:v>
      </x:c>
      <x:c r="N9" s="25" t="n">
        <x:f>M9/2</x:f>
        <x:v>5.555555555555555</x:v>
      </x:c>
    </x:row>
    <x:row r="10">
      <x:c r="K10" s="16" t="n">
        <x:v>128</x:v>
      </x:c>
      <x:c r="L10" s="16" t="n">
        <x:v>1000000</x:v>
      </x:c>
      <x:c r="M10" s="25" t="n">
        <x:f>K10*$B$5/L10*1000</x:f>
        <x:v>1.28</x:v>
      </x:c>
      <x:c r="N10" s="25" t="n">
        <x:f>M10/2</x:f>
        <x:v>0.64</x:v>
      </x:c>
    </x:row>
    <x:row r="12" ht="30" customHeight="1">
      <x:c r="A12" s="12" t="str">
        <x:v>Mode</x:v>
      </x:c>
      <x:c r="B12" s="12" t="str">
        <x:v>External TX</x:v>
      </x:c>
      <x:c r="C12" s="12" t="str">
        <x:v>Baud vector</x:v>
      </x:c>
      <x:c r="D12" s="12" t="str">
        <x:v>Reference bus profile</x:v>
      </x:c>
      <x:c r="E12" s="12" t="str">
        <x:v>Reference bus bit/s</x:v>
      </x:c>
      <x:c r="F12" s="12" t="str">
        <x:v>Required bit/s</x:v>
      </x:c>
      <x:c r="G12" s="12" t="str">
        <x:v>Utilization</x:v>
      </x:c>
      <x:c r="H12" s="12" t="str">
        <x:v>Screen</x:v>
      </x:c>
      <x:c r="I12" s="12" t="str">
        <x:v>Interpretation</x:v>
      </x:c>
      <x:c r="K12" s="12" t="str">
        <x:v>Reference profile</x:v>
      </x:c>
      <x:c r="L12" s="12" t="str">
        <x:v>Official example</x:v>
      </x:c>
      <x:c r="M12" s="12" t="str">
        <x:v>Use</x:v>
      </x:c>
      <x:c r="N12" s="12" t="str">
        <x:v>Decision</x:v>
      </x:c>
    </x:row>
    <x:row r="13" ht="30" customHeight="1">
      <x:c r="A13" s="15" t="str">
        <x:v>MIRRORED_5</x:v>
      </x:c>
      <x:c r="B13" s="15" t="n">
        <x:v>3</x:v>
      </x:c>
      <x:c r="C13" s="23" t="n">
        <x:v>9600</x:v>
      </x:c>
      <x:c r="D13" s="23" t="str">
        <x:v>I2C_400K_REFERENCE</x:v>
      </x:c>
      <x:c r="E13" s="23" t="n">
        <x:v>400000</x:v>
      </x:c>
      <x:c r="F13" s="23" t="n">
        <x:f>B13*C13*$B$6/$B$5*$B$7*$B$8</x:f>
        <x:v>57600</x:v>
      </x:c>
      <x:c r="G13" s="24" t="n">
        <x:f>F13/E13</x:f>
        <x:v>0.144</x:v>
      </x:c>
      <x:c r="H13" s="19" t="str">
        <x:f>IF(G13&lt;=$B$9,"SCREEN_PASS","SCREEN_FAIL")</x:f>
        <x:v>SCREEN_PASS</x:v>
      </x:c>
      <x:c r="I13" s="17" t="str">
        <x:v>Synthetic planning screen; candidate support must be checked</x:v>
      </x:c>
      <x:c r="K13" s="17" t="str">
        <x:v>Dual bridge</x:v>
      </x:c>
      <x:c r="L13" s="17" t="str">
        <x:v>SC16IS752/762</x:v>
      </x:c>
      <x:c r="M13" s="17" t="str">
        <x:v>64-byte FIFO; variant-dependent host limits</x:v>
      </x:c>
      <x:c r="N13" s="17" t="str">
        <x:v>REFERENCE_ONLY</x:v>
      </x:c>
    </x:row>
    <x:row r="14" ht="30" customHeight="1">
      <x:c r="A14" s="15" t="str">
        <x:v>MIRRORED_5</x:v>
      </x:c>
      <x:c r="B14" s="15" t="n">
        <x:v>3</x:v>
      </x:c>
      <x:c r="C14" s="23" t="n">
        <x:v>9600</x:v>
      </x:c>
      <x:c r="D14" s="23" t="str">
        <x:v>I2C_1M_REFERENCE</x:v>
      </x:c>
      <x:c r="E14" s="23" t="n">
        <x:v>1000000</x:v>
      </x:c>
      <x:c r="F14" s="23" t="n">
        <x:f>B14*C14*$B$6/$B$5*$B$7*$B$8</x:f>
        <x:v>57600</x:v>
      </x:c>
      <x:c r="G14" s="24" t="n">
        <x:f>F14/E14</x:f>
        <x:v>0.0576</x:v>
      </x:c>
      <x:c r="H14" s="19" t="str">
        <x:f>IF(G14&lt;=$B$9,"SCREEN_PASS","SCREEN_FAIL")</x:f>
        <x:v>SCREEN_PASS</x:v>
      </x:c>
      <x:c r="I14" s="17" t="str">
        <x:v>Synthetic planning screen; candidate support must be checked</x:v>
      </x:c>
      <x:c r="K14" s="17" t="str">
        <x:v>Quad bridge</x:v>
      </x:c>
      <x:c r="L14" s="17" t="str">
        <x:v>MAX14830</x:v>
      </x:c>
      <x:c r="M14" s="17" t="str">
        <x:v>Quad UART class; 128-word/channel reference</x:v>
      </x:c>
      <x:c r="N14" s="17" t="str">
        <x:v>REFERENCE_ONLY</x:v>
      </x:c>
    </x:row>
    <x:row r="15" ht="30" customHeight="1">
      <x:c r="A15" s="15" t="str">
        <x:v>MIRRORED_5</x:v>
      </x:c>
      <x:c r="B15" s="15" t="n">
        <x:v>3</x:v>
      </x:c>
      <x:c r="C15" s="23" t="n">
        <x:v>9600</x:v>
      </x:c>
      <x:c r="D15" s="23" t="str">
        <x:v>SPI_4M_REFERENCE</x:v>
      </x:c>
      <x:c r="E15" s="23" t="n">
        <x:v>4000000</x:v>
      </x:c>
      <x:c r="F15" s="23" t="n">
        <x:f>B15*C15*$B$6/$B$5*$B$7*$B$8</x:f>
        <x:v>57600</x:v>
      </x:c>
      <x:c r="G15" s="24" t="n">
        <x:f>F15/E15</x:f>
        <x:v>0.0144</x:v>
      </x:c>
      <x:c r="H15" s="19" t="str">
        <x:f>IF(G15&lt;=$B$9,"SCREEN_PASS","SCREEN_FAIL")</x:f>
        <x:v>SCREEN_PASS</x:v>
      </x:c>
      <x:c r="I15" s="17" t="str">
        <x:v>Synthetic planning screen; candidate support must be checked</x:v>
      </x:c>
      <x:c r="K15" s="17" t="str">
        <x:v>Dual bridge</x:v>
      </x:c>
      <x:c r="L15" s="17" t="str">
        <x:v>MAX3109</x:v>
      </x:c>
      <x:c r="M15" s="17" t="str">
        <x:v>Dual UART class; 128-word/channel reference</x:v>
      </x:c>
      <x:c r="N15" s="17" t="str">
        <x:v>REFERENCE_ONLY</x:v>
      </x:c>
    </x:row>
    <x:row r="16" ht="30" customHeight="1">
      <x:c r="A16" s="15" t="str">
        <x:v>MIRRORED_5</x:v>
      </x:c>
      <x:c r="B16" s="15" t="n">
        <x:v>3</x:v>
      </x:c>
      <x:c r="C16" s="23" t="n">
        <x:v>9600</x:v>
      </x:c>
      <x:c r="D16" s="23" t="str">
        <x:v>SPI_15M_REFERENCE</x:v>
      </x:c>
      <x:c r="E16" s="23" t="n">
        <x:v>15000000</x:v>
      </x:c>
      <x:c r="F16" s="23" t="n">
        <x:f>B16*C16*$B$6/$B$5*$B$7*$B$8</x:f>
        <x:v>57600</x:v>
      </x:c>
      <x:c r="G16" s="24" t="n">
        <x:f>F16/E16</x:f>
        <x:v>0.00384</x:v>
      </x:c>
      <x:c r="H16" s="19" t="str">
        <x:f>IF(G16&lt;=$B$9,"SCREEN_PASS","SCREEN_FAIL")</x:f>
        <x:v>SCREEN_PASS</x:v>
      </x:c>
      <x:c r="I16" s="17" t="str">
        <x:v>Synthetic planning screen; candidate support must be checked</x:v>
      </x:c>
      <x:c r="K16" s="17" t="str">
        <x:v>RMT</x:v>
      </x:c>
      <x:c r="L16" s="17" t="str">
        <x:v>ESP-IDF RMT</x:v>
      </x:c>
      <x:c r="M16" s="17" t="str">
        <x:v>Custom encoder / ISR comparison</x:v>
      </x:c>
      <x:c r="N16" s="17" t="str">
        <x:v>ZERO_PRODUCTION_CREDIT</x:v>
      </x:c>
    </x:row>
    <x:row r="17" ht="30" customHeight="1">
      <x:c r="A17" s="15" t="str">
        <x:v>MIRRORED_5</x:v>
      </x:c>
      <x:c r="B17" s="15" t="n">
        <x:v>3</x:v>
      </x:c>
      <x:c r="C17" s="23" t="n">
        <x:v>9600</x:v>
      </x:c>
      <x:c r="D17" s="23" t="str">
        <x:v>SPI_26M_REFERENCE</x:v>
      </x:c>
      <x:c r="E17" s="23" t="n">
        <x:v>26000000</x:v>
      </x:c>
      <x:c r="F17" s="23" t="n">
        <x:f>B17*C17*$B$6/$B$5*$B$7*$B$8</x:f>
        <x:v>57600</x:v>
      </x:c>
      <x:c r="G17" s="24" t="n">
        <x:f>F17/E17</x:f>
        <x:v>0.0022153846153846156</x:v>
      </x:c>
      <x:c r="H17" s="19" t="str">
        <x:f>IF(G17&lt;=$B$9,"SCREEN_PASS","SCREEN_FAIL")</x:f>
        <x:v>SCREEN_PASS</x:v>
      </x:c>
      <x:c r="I17" s="17" t="str">
        <x:v>Synthetic planning screen; candidate support must be checked</x:v>
      </x:c>
    </x:row>
    <x:row r="18" ht="30" customHeight="1">
      <x:c r="A18" s="15" t="str">
        <x:v>MIRRORED_5</x:v>
      </x:c>
      <x:c r="B18" s="15" t="n">
        <x:v>3</x:v>
      </x:c>
      <x:c r="C18" s="23" t="n">
        <x:v>115200</x:v>
      </x:c>
      <x:c r="D18" s="23" t="str">
        <x:v>I2C_400K_REFERENCE</x:v>
      </x:c>
      <x:c r="E18" s="23" t="n">
        <x:v>400000</x:v>
      </x:c>
      <x:c r="F18" s="23" t="n">
        <x:f>B18*C18*$B$6/$B$5*$B$7*$B$8</x:f>
        <x:v>691200</x:v>
      </x:c>
      <x:c r="G18" s="24" t="n">
        <x:f>F18/E18</x:f>
        <x:v>1.728</x:v>
      </x:c>
      <x:c r="H18" s="19" t="str">
        <x:f>IF(G18&lt;=$B$9,"SCREEN_PASS","SCREEN_FAIL")</x:f>
        <x:v>SCREEN_FAIL</x:v>
      </x:c>
      <x:c r="I18" s="17" t="str">
        <x:v>Synthetic planning screen; candidate support must be checked</x:v>
      </x:c>
    </x:row>
    <x:row r="19" ht="30" customHeight="1">
      <x:c r="A19" s="15" t="str">
        <x:v>MIRRORED_5</x:v>
      </x:c>
      <x:c r="B19" s="15" t="n">
        <x:v>3</x:v>
      </x:c>
      <x:c r="C19" s="23" t="n">
        <x:v>115200</x:v>
      </x:c>
      <x:c r="D19" s="23" t="str">
        <x:v>I2C_1M_REFERENCE</x:v>
      </x:c>
      <x:c r="E19" s="23" t="n">
        <x:v>1000000</x:v>
      </x:c>
      <x:c r="F19" s="23" t="n">
        <x:f>B19*C19*$B$6/$B$5*$B$7*$B$8</x:f>
        <x:v>691200</x:v>
      </x:c>
      <x:c r="G19" s="24" t="n">
        <x:f>F19/E19</x:f>
        <x:v>0.6912</x:v>
      </x:c>
      <x:c r="H19" s="19" t="str">
        <x:f>IF(G19&lt;=$B$9,"SCREEN_PASS","SCREEN_FAIL")</x:f>
        <x:v>SCREEN_PASS</x:v>
      </x:c>
      <x:c r="I19" s="17" t="str">
        <x:v>Synthetic planning screen; candidate support must be checked</x:v>
      </x:c>
    </x:row>
    <x:row r="20" ht="30" customHeight="1">
      <x:c r="A20" s="15" t="str">
        <x:v>MIRRORED_5</x:v>
      </x:c>
      <x:c r="B20" s="15" t="n">
        <x:v>3</x:v>
      </x:c>
      <x:c r="C20" s="23" t="n">
        <x:v>115200</x:v>
      </x:c>
      <x:c r="D20" s="23" t="str">
        <x:v>SPI_4M_REFERENCE</x:v>
      </x:c>
      <x:c r="E20" s="23" t="n">
        <x:v>4000000</x:v>
      </x:c>
      <x:c r="F20" s="23" t="n">
        <x:f>B20*C20*$B$6/$B$5*$B$7*$B$8</x:f>
        <x:v>691200</x:v>
      </x:c>
      <x:c r="G20" s="24" t="n">
        <x:f>F20/E20</x:f>
        <x:v>0.1728</x:v>
      </x:c>
      <x:c r="H20" s="19" t="str">
        <x:f>IF(G20&lt;=$B$9,"SCREEN_PASS","SCREEN_FAIL")</x:f>
        <x:v>SCREEN_PASS</x:v>
      </x:c>
      <x:c r="I20" s="17" t="str">
        <x:v>Synthetic planning screen; candidate support must be checked</x:v>
      </x:c>
    </x:row>
    <x:row r="21" ht="30" customHeight="1">
      <x:c r="A21" s="15" t="str">
        <x:v>MIRRORED_5</x:v>
      </x:c>
      <x:c r="B21" s="15" t="n">
        <x:v>3</x:v>
      </x:c>
      <x:c r="C21" s="23" t="n">
        <x:v>115200</x:v>
      </x:c>
      <x:c r="D21" s="23" t="str">
        <x:v>SPI_15M_REFERENCE</x:v>
      </x:c>
      <x:c r="E21" s="23" t="n">
        <x:v>15000000</x:v>
      </x:c>
      <x:c r="F21" s="23" t="n">
        <x:f>B21*C21*$B$6/$B$5*$B$7*$B$8</x:f>
        <x:v>691200</x:v>
      </x:c>
      <x:c r="G21" s="24" t="n">
        <x:f>F21/E21</x:f>
        <x:v>0.04608</x:v>
      </x:c>
      <x:c r="H21" s="19" t="str">
        <x:f>IF(G21&lt;=$B$9,"SCREEN_PASS","SCREEN_FAIL")</x:f>
        <x:v>SCREEN_PASS</x:v>
      </x:c>
      <x:c r="I21" s="17" t="str">
        <x:v>Synthetic planning screen; candidate support must be checked</x:v>
      </x:c>
    </x:row>
    <x:row r="22" ht="30" customHeight="1">
      <x:c r="A22" s="15" t="str">
        <x:v>MIRRORED_5</x:v>
      </x:c>
      <x:c r="B22" s="15" t="n">
        <x:v>3</x:v>
      </x:c>
      <x:c r="C22" s="23" t="n">
        <x:v>115200</x:v>
      </x:c>
      <x:c r="D22" s="23" t="str">
        <x:v>SPI_26M_REFERENCE</x:v>
      </x:c>
      <x:c r="E22" s="23" t="n">
        <x:v>26000000</x:v>
      </x:c>
      <x:c r="F22" s="23" t="n">
        <x:f>B22*C22*$B$6/$B$5*$B$7*$B$8</x:f>
        <x:v>691200</x:v>
      </x:c>
      <x:c r="G22" s="24" t="n">
        <x:f>F22/E22</x:f>
        <x:v>0.026584615384615384</x:v>
      </x:c>
      <x:c r="H22" s="19" t="str">
        <x:f>IF(G22&lt;=$B$9,"SCREEN_PASS","SCREEN_FAIL")</x:f>
        <x:v>SCREEN_PASS</x:v>
      </x:c>
      <x:c r="I22" s="17" t="str">
        <x:v>Synthetic planning screen; candidate support must be checked</x:v>
      </x:c>
    </x:row>
    <x:row r="23" ht="30" customHeight="1">
      <x:c r="A23" s="15" t="str">
        <x:v>MIRRORED_5</x:v>
      </x:c>
      <x:c r="B23" s="15" t="n">
        <x:v>3</x:v>
      </x:c>
      <x:c r="C23" s="23" t="n">
        <x:v>1000000</x:v>
      </x:c>
      <x:c r="D23" s="23" t="str">
        <x:v>I2C_400K_REFERENCE</x:v>
      </x:c>
      <x:c r="E23" s="23" t="n">
        <x:v>400000</x:v>
      </x:c>
      <x:c r="F23" s="23" t="n">
        <x:f>B23*C23*$B$6/$B$5*$B$7*$B$8</x:f>
        <x:v>6000000</x:v>
      </x:c>
      <x:c r="G23" s="24" t="n">
        <x:f>F23/E23</x:f>
        <x:v>15</x:v>
      </x:c>
      <x:c r="H23" s="19" t="str">
        <x:f>IF(G23&lt;=$B$9,"SCREEN_PASS","SCREEN_FAIL")</x:f>
        <x:v>SCREEN_FAIL</x:v>
      </x:c>
      <x:c r="I23" s="17" t="str">
        <x:v>Synthetic planning screen; candidate support must be checked</x:v>
      </x:c>
    </x:row>
    <x:row r="24" ht="30" customHeight="1">
      <x:c r="A24" s="15" t="str">
        <x:v>MIRRORED_5</x:v>
      </x:c>
      <x:c r="B24" s="15" t="n">
        <x:v>3</x:v>
      </x:c>
      <x:c r="C24" s="23" t="n">
        <x:v>1000000</x:v>
      </x:c>
      <x:c r="D24" s="23" t="str">
        <x:v>I2C_1M_REFERENCE</x:v>
      </x:c>
      <x:c r="E24" s="23" t="n">
        <x:v>1000000</x:v>
      </x:c>
      <x:c r="F24" s="23" t="n">
        <x:f>B24*C24*$B$6/$B$5*$B$7*$B$8</x:f>
        <x:v>6000000</x:v>
      </x:c>
      <x:c r="G24" s="24" t="n">
        <x:f>F24/E24</x:f>
        <x:v>6</x:v>
      </x:c>
      <x:c r="H24" s="19" t="str">
        <x:f>IF(G24&lt;=$B$9,"SCREEN_PASS","SCREEN_FAIL")</x:f>
        <x:v>SCREEN_FAIL</x:v>
      </x:c>
      <x:c r="I24" s="17" t="str">
        <x:v>Synthetic planning screen; candidate support must be checked</x:v>
      </x:c>
    </x:row>
    <x:row r="25" ht="30" customHeight="1">
      <x:c r="A25" s="15" t="str">
        <x:v>MIRRORED_5</x:v>
      </x:c>
      <x:c r="B25" s="15" t="n">
        <x:v>3</x:v>
      </x:c>
      <x:c r="C25" s="23" t="n">
        <x:v>1000000</x:v>
      </x:c>
      <x:c r="D25" s="23" t="str">
        <x:v>SPI_4M_REFERENCE</x:v>
      </x:c>
      <x:c r="E25" s="23" t="n">
        <x:v>4000000</x:v>
      </x:c>
      <x:c r="F25" s="23" t="n">
        <x:f>B25*C25*$B$6/$B$5*$B$7*$B$8</x:f>
        <x:v>6000000</x:v>
      </x:c>
      <x:c r="G25" s="24" t="n">
        <x:f>F25/E25</x:f>
        <x:v>1.5</x:v>
      </x:c>
      <x:c r="H25" s="19" t="str">
        <x:f>IF(G25&lt;=$B$9,"SCREEN_PASS","SCREEN_FAIL")</x:f>
        <x:v>SCREEN_FAIL</x:v>
      </x:c>
      <x:c r="I25" s="17" t="str">
        <x:v>Synthetic planning screen; candidate support must be checked</x:v>
      </x:c>
    </x:row>
    <x:row r="26" ht="30" customHeight="1">
      <x:c r="A26" s="15" t="str">
        <x:v>MIRRORED_5</x:v>
      </x:c>
      <x:c r="B26" s="15" t="n">
        <x:v>3</x:v>
      </x:c>
      <x:c r="C26" s="23" t="n">
        <x:v>1000000</x:v>
      </x:c>
      <x:c r="D26" s="23" t="str">
        <x:v>SPI_15M_REFERENCE</x:v>
      </x:c>
      <x:c r="E26" s="23" t="n">
        <x:v>15000000</x:v>
      </x:c>
      <x:c r="F26" s="23" t="n">
        <x:f>B26*C26*$B$6/$B$5*$B$7*$B$8</x:f>
        <x:v>6000000</x:v>
      </x:c>
      <x:c r="G26" s="24" t="n">
        <x:f>F26/E26</x:f>
        <x:v>0.4</x:v>
      </x:c>
      <x:c r="H26" s="19" t="str">
        <x:f>IF(G26&lt;=$B$9,"SCREEN_PASS","SCREEN_FAIL")</x:f>
        <x:v>SCREEN_PASS</x:v>
      </x:c>
      <x:c r="I26" s="17" t="str">
        <x:v>Synthetic planning screen; candidate support must be checked</x:v>
      </x:c>
    </x:row>
    <x:row r="27" ht="30" customHeight="1">
      <x:c r="A27" s="15" t="str">
        <x:v>MIRRORED_5</x:v>
      </x:c>
      <x:c r="B27" s="15" t="n">
        <x:v>3</x:v>
      </x:c>
      <x:c r="C27" s="23" t="n">
        <x:v>1000000</x:v>
      </x:c>
      <x:c r="D27" s="23" t="str">
        <x:v>SPI_26M_REFERENCE</x:v>
      </x:c>
      <x:c r="E27" s="23" t="n">
        <x:v>26000000</x:v>
      </x:c>
      <x:c r="F27" s="23" t="n">
        <x:f>B27*C27*$B$6/$B$5*$B$7*$B$8</x:f>
        <x:v>6000000</x:v>
      </x:c>
      <x:c r="G27" s="24" t="n">
        <x:f>F27/E27</x:f>
        <x:v>0.23076923076923078</x:v>
      </x:c>
      <x:c r="H27" s="19" t="str">
        <x:f>IF(G27&lt;=$B$9,"SCREEN_PASS","SCREEN_FAIL")</x:f>
        <x:v>SCREEN_PASS</x:v>
      </x:c>
      <x:c r="I27" s="17" t="str">
        <x:v>Synthetic planning screen; candidate support must be checked</x:v>
      </x:c>
    </x:row>
    <x:row r="28" ht="30" customHeight="1">
      <x:c r="A28" s="15" t="str">
        <x:v>INDEPENDENT_10</x:v>
      </x:c>
      <x:c r="B28" s="15" t="n">
        <x:v>8</x:v>
      </x:c>
      <x:c r="C28" s="23" t="n">
        <x:v>9600</x:v>
      </x:c>
      <x:c r="D28" s="23" t="str">
        <x:v>I2C_400K_REFERENCE</x:v>
      </x:c>
      <x:c r="E28" s="23" t="n">
        <x:v>400000</x:v>
      </x:c>
      <x:c r="F28" s="23" t="n">
        <x:f>B28*C28*$B$6/$B$5*$B$7*$B$8</x:f>
        <x:v>153600</x:v>
      </x:c>
      <x:c r="G28" s="24" t="n">
        <x:f>F28/E28</x:f>
        <x:v>0.384</x:v>
      </x:c>
      <x:c r="H28" s="19" t="str">
        <x:f>IF(G28&lt;=$B$9,"SCREEN_PASS","SCREEN_FAIL")</x:f>
        <x:v>SCREEN_PASS</x:v>
      </x:c>
      <x:c r="I28" s="17" t="str">
        <x:v>Synthetic planning screen; candidate support must be checked</x:v>
      </x:c>
    </x:row>
    <x:row r="29" ht="30" customHeight="1">
      <x:c r="A29" s="15" t="str">
        <x:v>INDEPENDENT_10</x:v>
      </x:c>
      <x:c r="B29" s="15" t="n">
        <x:v>8</x:v>
      </x:c>
      <x:c r="C29" s="23" t="n">
        <x:v>9600</x:v>
      </x:c>
      <x:c r="D29" s="23" t="str">
        <x:v>I2C_1M_REFERENCE</x:v>
      </x:c>
      <x:c r="E29" s="23" t="n">
        <x:v>1000000</x:v>
      </x:c>
      <x:c r="F29" s="23" t="n">
        <x:f>B29*C29*$B$6/$B$5*$B$7*$B$8</x:f>
        <x:v>153600</x:v>
      </x:c>
      <x:c r="G29" s="24" t="n">
        <x:f>F29/E29</x:f>
        <x:v>0.1536</x:v>
      </x:c>
      <x:c r="H29" s="19" t="str">
        <x:f>IF(G29&lt;=$B$9,"SCREEN_PASS","SCREEN_FAIL")</x:f>
        <x:v>SCREEN_PASS</x:v>
      </x:c>
      <x:c r="I29" s="17" t="str">
        <x:v>Synthetic planning screen; candidate support must be checked</x:v>
      </x:c>
    </x:row>
    <x:row r="30" ht="30" customHeight="1">
      <x:c r="A30" s="15" t="str">
        <x:v>INDEPENDENT_10</x:v>
      </x:c>
      <x:c r="B30" s="15" t="n">
        <x:v>8</x:v>
      </x:c>
      <x:c r="C30" s="23" t="n">
        <x:v>9600</x:v>
      </x:c>
      <x:c r="D30" s="23" t="str">
        <x:v>SPI_4M_REFERENCE</x:v>
      </x:c>
      <x:c r="E30" s="23" t="n">
        <x:v>4000000</x:v>
      </x:c>
      <x:c r="F30" s="23" t="n">
        <x:f>B30*C30*$B$6/$B$5*$B$7*$B$8</x:f>
        <x:v>153600</x:v>
      </x:c>
      <x:c r="G30" s="24" t="n">
        <x:f>F30/E30</x:f>
        <x:v>0.0384</x:v>
      </x:c>
      <x:c r="H30" s="19" t="str">
        <x:f>IF(G30&lt;=$B$9,"SCREEN_PASS","SCREEN_FAIL")</x:f>
        <x:v>SCREEN_PASS</x:v>
      </x:c>
      <x:c r="I30" s="17" t="str">
        <x:v>Synthetic planning screen; candidate support must be checked</x:v>
      </x:c>
    </x:row>
    <x:row r="31" ht="30" customHeight="1">
      <x:c r="A31" s="15" t="str">
        <x:v>INDEPENDENT_10</x:v>
      </x:c>
      <x:c r="B31" s="15" t="n">
        <x:v>8</x:v>
      </x:c>
      <x:c r="C31" s="23" t="n">
        <x:v>9600</x:v>
      </x:c>
      <x:c r="D31" s="23" t="str">
        <x:v>SPI_15M_REFERENCE</x:v>
      </x:c>
      <x:c r="E31" s="23" t="n">
        <x:v>15000000</x:v>
      </x:c>
      <x:c r="F31" s="23" t="n">
        <x:f>B31*C31*$B$6/$B$5*$B$7*$B$8</x:f>
        <x:v>153600</x:v>
      </x:c>
      <x:c r="G31" s="24" t="n">
        <x:f>F31/E31</x:f>
        <x:v>0.01024</x:v>
      </x:c>
      <x:c r="H31" s="19" t="str">
        <x:f>IF(G31&lt;=$B$9,"SCREEN_PASS","SCREEN_FAIL")</x:f>
        <x:v>SCREEN_PASS</x:v>
      </x:c>
      <x:c r="I31" s="17" t="str">
        <x:v>Synthetic planning screen; candidate support must be checked</x:v>
      </x:c>
    </x:row>
    <x:row r="32" ht="30" customHeight="1">
      <x:c r="A32" s="15" t="str">
        <x:v>INDEPENDENT_10</x:v>
      </x:c>
      <x:c r="B32" s="15" t="n">
        <x:v>8</x:v>
      </x:c>
      <x:c r="C32" s="23" t="n">
        <x:v>9600</x:v>
      </x:c>
      <x:c r="D32" s="23" t="str">
        <x:v>SPI_26M_REFERENCE</x:v>
      </x:c>
      <x:c r="E32" s="23" t="n">
        <x:v>26000000</x:v>
      </x:c>
      <x:c r="F32" s="23" t="n">
        <x:f>B32*C32*$B$6/$B$5*$B$7*$B$8</x:f>
        <x:v>153600</x:v>
      </x:c>
      <x:c r="G32" s="24" t="n">
        <x:f>F32/E32</x:f>
        <x:v>0.005907692307692307</x:v>
      </x:c>
      <x:c r="H32" s="19" t="str">
        <x:f>IF(G32&lt;=$B$9,"SCREEN_PASS","SCREEN_FAIL")</x:f>
        <x:v>SCREEN_PASS</x:v>
      </x:c>
      <x:c r="I32" s="17" t="str">
        <x:v>Synthetic planning screen; candidate support must be checked</x:v>
      </x:c>
    </x:row>
    <x:row r="33" ht="30" customHeight="1">
      <x:c r="A33" s="15" t="str">
        <x:v>INDEPENDENT_10</x:v>
      </x:c>
      <x:c r="B33" s="15" t="n">
        <x:v>8</x:v>
      </x:c>
      <x:c r="C33" s="23" t="n">
        <x:v>115200</x:v>
      </x:c>
      <x:c r="D33" s="23" t="str">
        <x:v>I2C_400K_REFERENCE</x:v>
      </x:c>
      <x:c r="E33" s="23" t="n">
        <x:v>400000</x:v>
      </x:c>
      <x:c r="F33" s="23" t="n">
        <x:f>B33*C33*$B$6/$B$5*$B$7*$B$8</x:f>
        <x:v>1843200</x:v>
      </x:c>
      <x:c r="G33" s="24" t="n">
        <x:f>F33/E33</x:f>
        <x:v>4.608</x:v>
      </x:c>
      <x:c r="H33" s="19" t="str">
        <x:f>IF(G33&lt;=$B$9,"SCREEN_PASS","SCREEN_FAIL")</x:f>
        <x:v>SCREEN_FAIL</x:v>
      </x:c>
      <x:c r="I33" s="17" t="str">
        <x:v>Synthetic planning screen; candidate support must be checked</x:v>
      </x:c>
    </x:row>
    <x:row r="34" ht="30" customHeight="1">
      <x:c r="A34" s="15" t="str">
        <x:v>INDEPENDENT_10</x:v>
      </x:c>
      <x:c r="B34" s="15" t="n">
        <x:v>8</x:v>
      </x:c>
      <x:c r="C34" s="23" t="n">
        <x:v>115200</x:v>
      </x:c>
      <x:c r="D34" s="23" t="str">
        <x:v>I2C_1M_REFERENCE</x:v>
      </x:c>
      <x:c r="E34" s="23" t="n">
        <x:v>1000000</x:v>
      </x:c>
      <x:c r="F34" s="23" t="n">
        <x:f>B34*C34*$B$6/$B$5*$B$7*$B$8</x:f>
        <x:v>1843200</x:v>
      </x:c>
      <x:c r="G34" s="24" t="n">
        <x:f>F34/E34</x:f>
        <x:v>1.8432</x:v>
      </x:c>
      <x:c r="H34" s="19" t="str">
        <x:f>IF(G34&lt;=$B$9,"SCREEN_PASS","SCREEN_FAIL")</x:f>
        <x:v>SCREEN_FAIL</x:v>
      </x:c>
      <x:c r="I34" s="17" t="str">
        <x:v>Synthetic planning screen; candidate support must be checked</x:v>
      </x:c>
    </x:row>
    <x:row r="35" ht="30" customHeight="1">
      <x:c r="A35" s="15" t="str">
        <x:v>INDEPENDENT_10</x:v>
      </x:c>
      <x:c r="B35" s="15" t="n">
        <x:v>8</x:v>
      </x:c>
      <x:c r="C35" s="23" t="n">
        <x:v>115200</x:v>
      </x:c>
      <x:c r="D35" s="23" t="str">
        <x:v>SPI_4M_REFERENCE</x:v>
      </x:c>
      <x:c r="E35" s="23" t="n">
        <x:v>4000000</x:v>
      </x:c>
      <x:c r="F35" s="23" t="n">
        <x:f>B35*C35*$B$6/$B$5*$B$7*$B$8</x:f>
        <x:v>1843200</x:v>
      </x:c>
      <x:c r="G35" s="24" t="n">
        <x:f>F35/E35</x:f>
        <x:v>0.4608</x:v>
      </x:c>
      <x:c r="H35" s="19" t="str">
        <x:f>IF(G35&lt;=$B$9,"SCREEN_PASS","SCREEN_FAIL")</x:f>
        <x:v>SCREEN_PASS</x:v>
      </x:c>
      <x:c r="I35" s="17" t="str">
        <x:v>Synthetic planning screen; candidate support must be checked</x:v>
      </x:c>
    </x:row>
    <x:row r="36" ht="30" customHeight="1">
      <x:c r="A36" s="15" t="str">
        <x:v>INDEPENDENT_10</x:v>
      </x:c>
      <x:c r="B36" s="15" t="n">
        <x:v>8</x:v>
      </x:c>
      <x:c r="C36" s="23" t="n">
        <x:v>115200</x:v>
      </x:c>
      <x:c r="D36" s="23" t="str">
        <x:v>SPI_15M_REFERENCE</x:v>
      </x:c>
      <x:c r="E36" s="23" t="n">
        <x:v>15000000</x:v>
      </x:c>
      <x:c r="F36" s="23" t="n">
        <x:f>B36*C36*$B$6/$B$5*$B$7*$B$8</x:f>
        <x:v>1843200</x:v>
      </x:c>
      <x:c r="G36" s="24" t="n">
        <x:f>F36/E36</x:f>
        <x:v>0.12288</x:v>
      </x:c>
      <x:c r="H36" s="19" t="str">
        <x:f>IF(G36&lt;=$B$9,"SCREEN_PASS","SCREEN_FAIL")</x:f>
        <x:v>SCREEN_PASS</x:v>
      </x:c>
      <x:c r="I36" s="17" t="str">
        <x:v>Synthetic planning screen; candidate support must be checked</x:v>
      </x:c>
    </x:row>
    <x:row r="37" ht="30" customHeight="1">
      <x:c r="A37" s="15" t="str">
        <x:v>INDEPENDENT_10</x:v>
      </x:c>
      <x:c r="B37" s="15" t="n">
        <x:v>8</x:v>
      </x:c>
      <x:c r="C37" s="23" t="n">
        <x:v>115200</x:v>
      </x:c>
      <x:c r="D37" s="23" t="str">
        <x:v>SPI_26M_REFERENCE</x:v>
      </x:c>
      <x:c r="E37" s="23" t="n">
        <x:v>26000000</x:v>
      </x:c>
      <x:c r="F37" s="23" t="n">
        <x:f>B37*C37*$B$6/$B$5*$B$7*$B$8</x:f>
        <x:v>1843200</x:v>
      </x:c>
      <x:c r="G37" s="24" t="n">
        <x:f>F37/E37</x:f>
        <x:v>0.0708923076923077</x:v>
      </x:c>
      <x:c r="H37" s="19" t="str">
        <x:f>IF(G37&lt;=$B$9,"SCREEN_PASS","SCREEN_FAIL")</x:f>
        <x:v>SCREEN_PASS</x:v>
      </x:c>
      <x:c r="I37" s="17" t="str">
        <x:v>Synthetic planning screen; candidate support must be checked</x:v>
      </x:c>
    </x:row>
    <x:row r="38" ht="30" customHeight="1">
      <x:c r="A38" s="15" t="str">
        <x:v>INDEPENDENT_10</x:v>
      </x:c>
      <x:c r="B38" s="15" t="n">
        <x:v>8</x:v>
      </x:c>
      <x:c r="C38" s="23" t="n">
        <x:v>1000000</x:v>
      </x:c>
      <x:c r="D38" s="23" t="str">
        <x:v>I2C_400K_REFERENCE</x:v>
      </x:c>
      <x:c r="E38" s="23" t="n">
        <x:v>400000</x:v>
      </x:c>
      <x:c r="F38" s="23" t="n">
        <x:f>B38*C38*$B$6/$B$5*$B$7*$B$8</x:f>
        <x:v>16000000</x:v>
      </x:c>
      <x:c r="G38" s="24" t="n">
        <x:f>F38/E38</x:f>
        <x:v>40</x:v>
      </x:c>
      <x:c r="H38" s="19" t="str">
        <x:f>IF(G38&lt;=$B$9,"SCREEN_PASS","SCREEN_FAIL")</x:f>
        <x:v>SCREEN_FAIL</x:v>
      </x:c>
      <x:c r="I38" s="17" t="str">
        <x:v>Synthetic planning screen; candidate support must be checked</x:v>
      </x:c>
    </x:row>
    <x:row r="39" ht="30" customHeight="1">
      <x:c r="A39" s="15" t="str">
        <x:v>INDEPENDENT_10</x:v>
      </x:c>
      <x:c r="B39" s="15" t="n">
        <x:v>8</x:v>
      </x:c>
      <x:c r="C39" s="23" t="n">
        <x:v>1000000</x:v>
      </x:c>
      <x:c r="D39" s="23" t="str">
        <x:v>I2C_1M_REFERENCE</x:v>
      </x:c>
      <x:c r="E39" s="23" t="n">
        <x:v>1000000</x:v>
      </x:c>
      <x:c r="F39" s="23" t="n">
        <x:f>B39*C39*$B$6/$B$5*$B$7*$B$8</x:f>
        <x:v>16000000</x:v>
      </x:c>
      <x:c r="G39" s="24" t="n">
        <x:f>F39/E39</x:f>
        <x:v>16</x:v>
      </x:c>
      <x:c r="H39" s="19" t="str">
        <x:f>IF(G39&lt;=$B$9,"SCREEN_PASS","SCREEN_FAIL")</x:f>
        <x:v>SCREEN_FAIL</x:v>
      </x:c>
      <x:c r="I39" s="17" t="str">
        <x:v>Synthetic planning screen; candidate support must be checked</x:v>
      </x:c>
    </x:row>
    <x:row r="40" ht="30" customHeight="1">
      <x:c r="A40" s="15" t="str">
        <x:v>INDEPENDENT_10</x:v>
      </x:c>
      <x:c r="B40" s="15" t="n">
        <x:v>8</x:v>
      </x:c>
      <x:c r="C40" s="23" t="n">
        <x:v>1000000</x:v>
      </x:c>
      <x:c r="D40" s="23" t="str">
        <x:v>SPI_4M_REFERENCE</x:v>
      </x:c>
      <x:c r="E40" s="23" t="n">
        <x:v>4000000</x:v>
      </x:c>
      <x:c r="F40" s="23" t="n">
        <x:f>B40*C40*$B$6/$B$5*$B$7*$B$8</x:f>
        <x:v>16000000</x:v>
      </x:c>
      <x:c r="G40" s="24" t="n">
        <x:f>F40/E40</x:f>
        <x:v>4</x:v>
      </x:c>
      <x:c r="H40" s="19" t="str">
        <x:f>IF(G40&lt;=$B$9,"SCREEN_PASS","SCREEN_FAIL")</x:f>
        <x:v>SCREEN_FAIL</x:v>
      </x:c>
      <x:c r="I40" s="17" t="str">
        <x:v>Synthetic planning screen; candidate support must be checked</x:v>
      </x:c>
    </x:row>
    <x:row r="41" ht="30" customHeight="1">
      <x:c r="A41" s="15" t="str">
        <x:v>INDEPENDENT_10</x:v>
      </x:c>
      <x:c r="B41" s="15" t="n">
        <x:v>8</x:v>
      </x:c>
      <x:c r="C41" s="23" t="n">
        <x:v>1000000</x:v>
      </x:c>
      <x:c r="D41" s="23" t="str">
        <x:v>SPI_15M_REFERENCE</x:v>
      </x:c>
      <x:c r="E41" s="23" t="n">
        <x:v>15000000</x:v>
      </x:c>
      <x:c r="F41" s="23" t="n">
        <x:f>B41*C41*$B$6/$B$5*$B$7*$B$8</x:f>
        <x:v>16000000</x:v>
      </x:c>
      <x:c r="G41" s="24" t="n">
        <x:f>F41/E41</x:f>
        <x:v>1.0666666666666667</x:v>
      </x:c>
      <x:c r="H41" s="19" t="str">
        <x:f>IF(G41&lt;=$B$9,"SCREEN_PASS","SCREEN_FAIL")</x:f>
        <x:v>SCREEN_FAIL</x:v>
      </x:c>
      <x:c r="I41" s="17" t="str">
        <x:v>Synthetic planning screen; candidate support must be checked</x:v>
      </x:c>
    </x:row>
    <x:row r="42" ht="30" customHeight="1">
      <x:c r="A42" s="15" t="str">
        <x:v>INDEPENDENT_10</x:v>
      </x:c>
      <x:c r="B42" s="15" t="n">
        <x:v>8</x:v>
      </x:c>
      <x:c r="C42" s="23" t="n">
        <x:v>1000000</x:v>
      </x:c>
      <x:c r="D42" s="23" t="str">
        <x:v>SPI_26M_REFERENCE</x:v>
      </x:c>
      <x:c r="E42" s="23" t="n">
        <x:v>26000000</x:v>
      </x:c>
      <x:c r="F42" s="23" t="n">
        <x:f>B42*C42*$B$6/$B$5*$B$7*$B$8</x:f>
        <x:v>16000000</x:v>
      </x:c>
      <x:c r="G42" s="24" t="n">
        <x:f>F42/E42</x:f>
        <x:v>0.6153846153846154</x:v>
      </x:c>
      <x:c r="H42" s="19" t="str">
        <x:f>IF(G42&lt;=$B$9,"SCREEN_PASS","SCREEN_FAIL")</x:f>
        <x:v>SCREEN_PASS</x:v>
      </x:c>
      <x:c r="I42" s="17" t="str">
        <x:v>Synthetic planning screen; candidate support must be checked</x:v>
      </x:c>
    </x:row>
    <x:row r="43" ht="30" customHeight="1">
      <x:c r="A43" s="15" t="str">
        <x:v>INDEPENDENT_10_ALL_EXTERNAL</x:v>
      </x:c>
      <x:c r="B43" s="15" t="n">
        <x:v>10</x:v>
      </x:c>
      <x:c r="C43" s="23" t="n">
        <x:v>9600</x:v>
      </x:c>
      <x:c r="D43" s="23" t="str">
        <x:v>I2C_400K_REFERENCE</x:v>
      </x:c>
      <x:c r="E43" s="23" t="n">
        <x:v>400000</x:v>
      </x:c>
      <x:c r="F43" s="23" t="n">
        <x:f>B43*C43*$B$6/$B$5*$B$7*$B$8</x:f>
        <x:v>192000</x:v>
      </x:c>
      <x:c r="G43" s="24" t="n">
        <x:f>F43/E43</x:f>
        <x:v>0.48</x:v>
      </x:c>
      <x:c r="H43" s="19" t="str">
        <x:f>IF(G43&lt;=$B$9,"SCREEN_PASS","SCREEN_FAIL")</x:f>
        <x:v>SCREEN_PASS</x:v>
      </x:c>
      <x:c r="I43" s="17" t="str">
        <x:v>Synthetic planning screen; candidate support must be checked</x:v>
      </x:c>
    </x:row>
    <x:row r="44" ht="30" customHeight="1">
      <x:c r="A44" s="15" t="str">
        <x:v>INDEPENDENT_10_ALL_EXTERNAL</x:v>
      </x:c>
      <x:c r="B44" s="15" t="n">
        <x:v>10</x:v>
      </x:c>
      <x:c r="C44" s="23" t="n">
        <x:v>9600</x:v>
      </x:c>
      <x:c r="D44" s="23" t="str">
        <x:v>I2C_1M_REFERENCE</x:v>
      </x:c>
      <x:c r="E44" s="23" t="n">
        <x:v>1000000</x:v>
      </x:c>
      <x:c r="F44" s="23" t="n">
        <x:f>B44*C44*$B$6/$B$5*$B$7*$B$8</x:f>
        <x:v>192000</x:v>
      </x:c>
      <x:c r="G44" s="24" t="n">
        <x:f>F44/E44</x:f>
        <x:v>0.192</x:v>
      </x:c>
      <x:c r="H44" s="19" t="str">
        <x:f>IF(G44&lt;=$B$9,"SCREEN_PASS","SCREEN_FAIL")</x:f>
        <x:v>SCREEN_PASS</x:v>
      </x:c>
      <x:c r="I44" s="17" t="str">
        <x:v>Synthetic planning screen; candidate support must be checked</x:v>
      </x:c>
    </x:row>
    <x:row r="45" ht="30" customHeight="1">
      <x:c r="A45" s="15" t="str">
        <x:v>INDEPENDENT_10_ALL_EXTERNAL</x:v>
      </x:c>
      <x:c r="B45" s="15" t="n">
        <x:v>10</x:v>
      </x:c>
      <x:c r="C45" s="23" t="n">
        <x:v>9600</x:v>
      </x:c>
      <x:c r="D45" s="23" t="str">
        <x:v>SPI_4M_REFERENCE</x:v>
      </x:c>
      <x:c r="E45" s="23" t="n">
        <x:v>4000000</x:v>
      </x:c>
      <x:c r="F45" s="23" t="n">
        <x:f>B45*C45*$B$6/$B$5*$B$7*$B$8</x:f>
        <x:v>192000</x:v>
      </x:c>
      <x:c r="G45" s="24" t="n">
        <x:f>F45/E45</x:f>
        <x:v>0.048</x:v>
      </x:c>
      <x:c r="H45" s="19" t="str">
        <x:f>IF(G45&lt;=$B$9,"SCREEN_PASS","SCREEN_FAIL")</x:f>
        <x:v>SCREEN_PASS</x:v>
      </x:c>
      <x:c r="I45" s="17" t="str">
        <x:v>Synthetic planning screen; candidate support must be checked</x:v>
      </x:c>
    </x:row>
    <x:row r="46" ht="30" customHeight="1">
      <x:c r="A46" s="15" t="str">
        <x:v>INDEPENDENT_10_ALL_EXTERNAL</x:v>
      </x:c>
      <x:c r="B46" s="15" t="n">
        <x:v>10</x:v>
      </x:c>
      <x:c r="C46" s="23" t="n">
        <x:v>9600</x:v>
      </x:c>
      <x:c r="D46" s="23" t="str">
        <x:v>SPI_15M_REFERENCE</x:v>
      </x:c>
      <x:c r="E46" s="23" t="n">
        <x:v>15000000</x:v>
      </x:c>
      <x:c r="F46" s="23" t="n">
        <x:f>B46*C46*$B$6/$B$5*$B$7*$B$8</x:f>
        <x:v>192000</x:v>
      </x:c>
      <x:c r="G46" s="24" t="n">
        <x:f>F46/E46</x:f>
        <x:v>0.0128</x:v>
      </x:c>
      <x:c r="H46" s="19" t="str">
        <x:f>IF(G46&lt;=$B$9,"SCREEN_PASS","SCREEN_FAIL")</x:f>
        <x:v>SCREEN_PASS</x:v>
      </x:c>
      <x:c r="I46" s="17" t="str">
        <x:v>Synthetic planning screen; candidate support must be checked</x:v>
      </x:c>
    </x:row>
    <x:row r="47" ht="30" customHeight="1">
      <x:c r="A47" s="15" t="str">
        <x:v>INDEPENDENT_10_ALL_EXTERNAL</x:v>
      </x:c>
      <x:c r="B47" s="15" t="n">
        <x:v>10</x:v>
      </x:c>
      <x:c r="C47" s="23" t="n">
        <x:v>9600</x:v>
      </x:c>
      <x:c r="D47" s="23" t="str">
        <x:v>SPI_26M_REFERENCE</x:v>
      </x:c>
      <x:c r="E47" s="23" t="n">
        <x:v>26000000</x:v>
      </x:c>
      <x:c r="F47" s="23" t="n">
        <x:f>B47*C47*$B$6/$B$5*$B$7*$B$8</x:f>
        <x:v>192000</x:v>
      </x:c>
      <x:c r="G47" s="24" t="n">
        <x:f>F47/E47</x:f>
        <x:v>0.0073846153846153844</x:v>
      </x:c>
      <x:c r="H47" s="19" t="str">
        <x:f>IF(G47&lt;=$B$9,"SCREEN_PASS","SCREEN_FAIL")</x:f>
        <x:v>SCREEN_PASS</x:v>
      </x:c>
      <x:c r="I47" s="17" t="str">
        <x:v>Synthetic planning screen; candidate support must be checked</x:v>
      </x:c>
    </x:row>
    <x:row r="48" ht="30" customHeight="1">
      <x:c r="A48" s="15" t="str">
        <x:v>INDEPENDENT_10_ALL_EXTERNAL</x:v>
      </x:c>
      <x:c r="B48" s="15" t="n">
        <x:v>10</x:v>
      </x:c>
      <x:c r="C48" s="23" t="n">
        <x:v>115200</x:v>
      </x:c>
      <x:c r="D48" s="23" t="str">
        <x:v>I2C_400K_REFERENCE</x:v>
      </x:c>
      <x:c r="E48" s="23" t="n">
        <x:v>400000</x:v>
      </x:c>
      <x:c r="F48" s="23" t="n">
        <x:f>B48*C48*$B$6/$B$5*$B$7*$B$8</x:f>
        <x:v>2304000</x:v>
      </x:c>
      <x:c r="G48" s="24" t="n">
        <x:f>F48/E48</x:f>
        <x:v>5.76</x:v>
      </x:c>
      <x:c r="H48" s="19" t="str">
        <x:f>IF(G48&lt;=$B$9,"SCREEN_PASS","SCREEN_FAIL")</x:f>
        <x:v>SCREEN_FAIL</x:v>
      </x:c>
      <x:c r="I48" s="17" t="str">
        <x:v>Synthetic planning screen; candidate support must be checked</x:v>
      </x:c>
    </x:row>
    <x:row r="49" ht="30" customHeight="1">
      <x:c r="A49" s="15" t="str">
        <x:v>INDEPENDENT_10_ALL_EXTERNAL</x:v>
      </x:c>
      <x:c r="B49" s="15" t="n">
        <x:v>10</x:v>
      </x:c>
      <x:c r="C49" s="23" t="n">
        <x:v>115200</x:v>
      </x:c>
      <x:c r="D49" s="23" t="str">
        <x:v>I2C_1M_REFERENCE</x:v>
      </x:c>
      <x:c r="E49" s="23" t="n">
        <x:v>1000000</x:v>
      </x:c>
      <x:c r="F49" s="23" t="n">
        <x:f>B49*C49*$B$6/$B$5*$B$7*$B$8</x:f>
        <x:v>2304000</x:v>
      </x:c>
      <x:c r="G49" s="24" t="n">
        <x:f>F49/E49</x:f>
        <x:v>2.304</x:v>
      </x:c>
      <x:c r="H49" s="19" t="str">
        <x:f>IF(G49&lt;=$B$9,"SCREEN_PASS","SCREEN_FAIL")</x:f>
        <x:v>SCREEN_FAIL</x:v>
      </x:c>
      <x:c r="I49" s="17" t="str">
        <x:v>Synthetic planning screen; candidate support must be checked</x:v>
      </x:c>
    </x:row>
    <x:row r="50" ht="30" customHeight="1">
      <x:c r="A50" s="15" t="str">
        <x:v>INDEPENDENT_10_ALL_EXTERNAL</x:v>
      </x:c>
      <x:c r="B50" s="15" t="n">
        <x:v>10</x:v>
      </x:c>
      <x:c r="C50" s="23" t="n">
        <x:v>115200</x:v>
      </x:c>
      <x:c r="D50" s="23" t="str">
        <x:v>SPI_4M_REFERENCE</x:v>
      </x:c>
      <x:c r="E50" s="23" t="n">
        <x:v>4000000</x:v>
      </x:c>
      <x:c r="F50" s="23" t="n">
        <x:f>B50*C50*$B$6/$B$5*$B$7*$B$8</x:f>
        <x:v>2304000</x:v>
      </x:c>
      <x:c r="G50" s="24" t="n">
        <x:f>F50/E50</x:f>
        <x:v>0.576</x:v>
      </x:c>
      <x:c r="H50" s="19" t="str">
        <x:f>IF(G50&lt;=$B$9,"SCREEN_PASS","SCREEN_FAIL")</x:f>
        <x:v>SCREEN_PASS</x:v>
      </x:c>
      <x:c r="I50" s="17" t="str">
        <x:v>Synthetic planning screen; candidate support must be checked</x:v>
      </x:c>
    </x:row>
    <x:row r="51" ht="30" customHeight="1">
      <x:c r="A51" s="15" t="str">
        <x:v>INDEPENDENT_10_ALL_EXTERNAL</x:v>
      </x:c>
      <x:c r="B51" s="15" t="n">
        <x:v>10</x:v>
      </x:c>
      <x:c r="C51" s="23" t="n">
        <x:v>115200</x:v>
      </x:c>
      <x:c r="D51" s="23" t="str">
        <x:v>SPI_15M_REFERENCE</x:v>
      </x:c>
      <x:c r="E51" s="23" t="n">
        <x:v>15000000</x:v>
      </x:c>
      <x:c r="F51" s="23" t="n">
        <x:f>B51*C51*$B$6/$B$5*$B$7*$B$8</x:f>
        <x:v>2304000</x:v>
      </x:c>
      <x:c r="G51" s="24" t="n">
        <x:f>F51/E51</x:f>
        <x:v>0.1536</x:v>
      </x:c>
      <x:c r="H51" s="19" t="str">
        <x:f>IF(G51&lt;=$B$9,"SCREEN_PASS","SCREEN_FAIL")</x:f>
        <x:v>SCREEN_PASS</x:v>
      </x:c>
      <x:c r="I51" s="17" t="str">
        <x:v>Synthetic planning screen; candidate support must be checked</x:v>
      </x:c>
    </x:row>
    <x:row r="52" ht="30" customHeight="1">
      <x:c r="A52" s="15" t="str">
        <x:v>INDEPENDENT_10_ALL_EXTERNAL</x:v>
      </x:c>
      <x:c r="B52" s="15" t="n">
        <x:v>10</x:v>
      </x:c>
      <x:c r="C52" s="23" t="n">
        <x:v>115200</x:v>
      </x:c>
      <x:c r="D52" s="23" t="str">
        <x:v>SPI_26M_REFERENCE</x:v>
      </x:c>
      <x:c r="E52" s="23" t="n">
        <x:v>26000000</x:v>
      </x:c>
      <x:c r="F52" s="23" t="n">
        <x:f>B52*C52*$B$6/$B$5*$B$7*$B$8</x:f>
        <x:v>2304000</x:v>
      </x:c>
      <x:c r="G52" s="24" t="n">
        <x:f>F52/E52</x:f>
        <x:v>0.08861538461538461</x:v>
      </x:c>
      <x:c r="H52" s="19" t="str">
        <x:f>IF(G52&lt;=$B$9,"SCREEN_PASS","SCREEN_FAIL")</x:f>
        <x:v>SCREEN_PASS</x:v>
      </x:c>
      <x:c r="I52" s="17" t="str">
        <x:v>Synthetic planning screen; candidate support must be checked</x:v>
      </x:c>
    </x:row>
    <x:row r="53" ht="30" customHeight="1">
      <x:c r="A53" s="15" t="str">
        <x:v>INDEPENDENT_10_ALL_EXTERNAL</x:v>
      </x:c>
      <x:c r="B53" s="15" t="n">
        <x:v>10</x:v>
      </x:c>
      <x:c r="C53" s="23" t="n">
        <x:v>1000000</x:v>
      </x:c>
      <x:c r="D53" s="23" t="str">
        <x:v>I2C_400K_REFERENCE</x:v>
      </x:c>
      <x:c r="E53" s="23" t="n">
        <x:v>400000</x:v>
      </x:c>
      <x:c r="F53" s="23" t="n">
        <x:f>B53*C53*$B$6/$B$5*$B$7*$B$8</x:f>
        <x:v>20000000</x:v>
      </x:c>
      <x:c r="G53" s="24" t="n">
        <x:f>F53/E53</x:f>
        <x:v>50</x:v>
      </x:c>
      <x:c r="H53" s="19" t="str">
        <x:f>IF(G53&lt;=$B$9,"SCREEN_PASS","SCREEN_FAIL")</x:f>
        <x:v>SCREEN_FAIL</x:v>
      </x:c>
      <x:c r="I53" s="17" t="str">
        <x:v>Synthetic planning screen; candidate support must be checked</x:v>
      </x:c>
    </x:row>
    <x:row r="54" ht="30" customHeight="1">
      <x:c r="A54" s="15" t="str">
        <x:v>INDEPENDENT_10_ALL_EXTERNAL</x:v>
      </x:c>
      <x:c r="B54" s="15" t="n">
        <x:v>10</x:v>
      </x:c>
      <x:c r="C54" s="23" t="n">
        <x:v>1000000</x:v>
      </x:c>
      <x:c r="D54" s="23" t="str">
        <x:v>I2C_1M_REFERENCE</x:v>
      </x:c>
      <x:c r="E54" s="23" t="n">
        <x:v>1000000</x:v>
      </x:c>
      <x:c r="F54" s="23" t="n">
        <x:f>B54*C54*$B$6/$B$5*$B$7*$B$8</x:f>
        <x:v>20000000</x:v>
      </x:c>
      <x:c r="G54" s="24" t="n">
        <x:f>F54/E54</x:f>
        <x:v>20</x:v>
      </x:c>
      <x:c r="H54" s="19" t="str">
        <x:f>IF(G54&lt;=$B$9,"SCREEN_PASS","SCREEN_FAIL")</x:f>
        <x:v>SCREEN_FAIL</x:v>
      </x:c>
      <x:c r="I54" s="17" t="str">
        <x:v>Synthetic planning screen; candidate support must be checked</x:v>
      </x:c>
    </x:row>
    <x:row r="55" ht="30" customHeight="1">
      <x:c r="A55" s="15" t="str">
        <x:v>INDEPENDENT_10_ALL_EXTERNAL</x:v>
      </x:c>
      <x:c r="B55" s="15" t="n">
        <x:v>10</x:v>
      </x:c>
      <x:c r="C55" s="23" t="n">
        <x:v>1000000</x:v>
      </x:c>
      <x:c r="D55" s="23" t="str">
        <x:v>SPI_4M_REFERENCE</x:v>
      </x:c>
      <x:c r="E55" s="23" t="n">
        <x:v>4000000</x:v>
      </x:c>
      <x:c r="F55" s="23" t="n">
        <x:f>B55*C55*$B$6/$B$5*$B$7*$B$8</x:f>
        <x:v>20000000</x:v>
      </x:c>
      <x:c r="G55" s="24" t="n">
        <x:f>F55/E55</x:f>
        <x:v>5</x:v>
      </x:c>
      <x:c r="H55" s="19" t="str">
        <x:f>IF(G55&lt;=$B$9,"SCREEN_PASS","SCREEN_FAIL")</x:f>
        <x:v>SCREEN_FAIL</x:v>
      </x:c>
      <x:c r="I55" s="17" t="str">
        <x:v>Synthetic planning screen; candidate support must be checked</x:v>
      </x:c>
    </x:row>
    <x:row r="56" ht="30" customHeight="1">
      <x:c r="A56" s="15" t="str">
        <x:v>INDEPENDENT_10_ALL_EXTERNAL</x:v>
      </x:c>
      <x:c r="B56" s="15" t="n">
        <x:v>10</x:v>
      </x:c>
      <x:c r="C56" s="23" t="n">
        <x:v>1000000</x:v>
      </x:c>
      <x:c r="D56" s="23" t="str">
        <x:v>SPI_15M_REFERENCE</x:v>
      </x:c>
      <x:c r="E56" s="23" t="n">
        <x:v>15000000</x:v>
      </x:c>
      <x:c r="F56" s="23" t="n">
        <x:f>B56*C56*$B$6/$B$5*$B$7*$B$8</x:f>
        <x:v>20000000</x:v>
      </x:c>
      <x:c r="G56" s="24" t="n">
        <x:f>F56/E56</x:f>
        <x:v>1.3333333333333333</x:v>
      </x:c>
      <x:c r="H56" s="19" t="str">
        <x:f>IF(G56&lt;=$B$9,"SCREEN_PASS","SCREEN_FAIL")</x:f>
        <x:v>SCREEN_FAIL</x:v>
      </x:c>
      <x:c r="I56" s="17" t="str">
        <x:v>Synthetic planning screen; candidate support must be checked</x:v>
      </x:c>
    </x:row>
    <x:row r="57" ht="30" customHeight="1">
      <x:c r="A57" s="15" t="str">
        <x:v>INDEPENDENT_10_ALL_EXTERNAL</x:v>
      </x:c>
      <x:c r="B57" s="15" t="n">
        <x:v>10</x:v>
      </x:c>
      <x:c r="C57" s="23" t="n">
        <x:v>1000000</x:v>
      </x:c>
      <x:c r="D57" s="23" t="str">
        <x:v>SPI_26M_REFERENCE</x:v>
      </x:c>
      <x:c r="E57" s="23" t="n">
        <x:v>26000000</x:v>
      </x:c>
      <x:c r="F57" s="23" t="n">
        <x:f>B57*C57*$B$6/$B$5*$B$7*$B$8</x:f>
        <x:v>20000000</x:v>
      </x:c>
      <x:c r="G57" s="24" t="n">
        <x:f>F57/E57</x:f>
        <x:v>0.7692307692307693</x:v>
      </x:c>
      <x:c r="H57" s="19" t="str">
        <x:f>IF(G57&lt;=$B$9,"SCREEN_PASS","SCREEN_FAIL")</x:f>
        <x:v>SCREEN_FAIL</x:v>
      </x:c>
      <x:c r="I57" s="17" t="str">
        <x:v>Synthetic planning screen; candidate support must be checked</x:v>
      </x:c>
    </x:row>
    <x:row r="60">
      <x:c r="A60" s="26" t="str">
        <x:v>Interpretation</x:v>
      </x:c>
      <x:c r="B60" s="26"/>
      <x:c r="C60" s="26"/>
      <x:c r="D60" s="26"/>
      <x:c r="E60" s="26"/>
      <x:c r="F60" s="26"/>
      <x:c r="G60" s="26"/>
      <x:c r="H60" s="26"/>
      <x:c r="I60" s="26"/>
    </x:row>
    <x:row r="61" ht="48" customHeight="1">
      <x:c r="A61" s="29" t="str">
        <x:v>SPI is the provisional host-bus class because the 8-external-channel / 115200 synthetic vector exceeds the 1 Mbit/s reference profile while fitting the 4 Mbit/s planning screen. The 10-external-channel fallback also fits the 4 Mbit/s screen at this vector, but not the 26 Mbit/s screen at the synthetic 1 Mbaud point.</x:v>
      </x:c>
      <x:c r="B61" s="29"/>
      <x:c r="C61" s="29"/>
      <x:c r="D61" s="29"/>
      <x:c r="E61" s="29"/>
      <x:c r="F61" s="29"/>
      <x:c r="G61" s="29"/>
      <x:c r="H61" s="29"/>
      <x:c r="I61" s="29"/>
    </x:row>
    <x:row r="62" ht="48" customHeight="1">
      <x:c r="A62" s="29" t="str">
        <x:v>Before PCB freeze: replace every yellow input with customer/exact-part evidence, include status/IRQ/RX/retry/fault overhead, and measure effective bus throughput and recovery under concurrent USB/Wi-Fi/log load.</x:v>
      </x:c>
      <x:c r="B62" s="29"/>
      <x:c r="C62" s="29"/>
      <x:c r="D62" s="29"/>
      <x:c r="E62" s="29"/>
      <x:c r="F62" s="29"/>
      <x:c r="G62" s="29"/>
      <x:c r="H62" s="29"/>
      <x:c r="I62" s="29"/>
    </x:row>
  </x:sheetData>
  <x:mergeCells>
    <x:mergeCell ref="A1:I1"/>
    <x:mergeCell ref="A2:I2"/>
    <x:mergeCell ref="A60:I60"/>
    <x:mergeCell ref="A61:I61"/>
    <x:mergeCell ref="A62:I62"/>
  </x:mergeCells>
  <x:conditionalFormatting sqref="H13:H57">
    <x:cfRule type="containsText" dxfId="3" priority="1" operator="containsText" text="SCREEN_PASS"/>
    <x:cfRule type="containsText" dxfId="4" priority="2" operator="containsText" text="SCREEN_FAIL"/>
  </x:conditionalFormatting>
  <x:pageMargins left="0.7" right="0.7" top="0.75" bottom="0.75" header="0.3" footer="0.3"/>
  <x:tableParts count="1">
    <x:tablePart xmlns:r="http://schemas.openxmlformats.org/officeDocument/2006/relationships" r:id="Rdd47cb3ac2b444f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3.75" hidden="0" customWidth="1"/>
    <x:col min="2" max="2" width="17.5" hidden="0" customWidth="1"/>
    <x:col min="3" max="3" width="26.25" hidden="0" customWidth="1"/>
    <x:col min="4" max="4" width="30" hidden="0" customWidth="1"/>
    <x:col min="5" max="5" width="23.75" hidden="0" customWidth="1"/>
    <x:col min="6" max="6" width="40" hidden="0" customWidth="1"/>
  </x:cols>
  <x:sheetData>
    <x:row r="1" ht="30" customHeight="1">
      <x:c r="A1" s="3" t="str">
        <x:v>CF-09 Pin Guardrails &amp; External Bridge References</x:v>
      </x:c>
      <x:c r="B1" s="3"/>
      <x:c r="C1" s="3"/>
      <x:c r="D1" s="3"/>
      <x:c r="E1" s="3"/>
      <x:c r="F1" s="3"/>
    </x:row>
    <x:row r="2" ht="38" customHeight="1">
      <x:c r="A2" s="7" t="str">
        <x:v>This sheet preserves source constraints and candidate classes. It does not freeze pins or select an exact part.</x:v>
      </x:c>
      <x:c r="B2" s="7"/>
      <x:c r="C2" s="7"/>
      <x:c r="D2" s="7"/>
      <x:c r="E2" s="7"/>
      <x:c r="F2" s="7"/>
    </x:row>
    <x:row r="4" ht="42" customHeight="1">
      <x:c r="A4" s="12" t="str">
        <x:v>GPIO / group</x:v>
      </x:c>
      <x:c r="B4" s="12" t="str">
        <x:v>Source allocation</x:v>
      </x:c>
      <x:c r="C4" s="12" t="str">
        <x:v>Fixed use / restriction</x:v>
      </x:c>
      <x:c r="D4" s="12" t="str">
        <x:v>HYB-REV10 treatment</x:v>
      </x:c>
      <x:c r="E4" s="12" t="str">
        <x:v>Evidence class</x:v>
      </x:c>
      <x:c r="F4" s="12" t="str">
        <x:v>Status</x:v>
      </x:c>
    </x:row>
    <x:row r="5" ht="42" customHeight="1">
      <x:c r="A5" s="17" t="str">
        <x:v>GPIO19/20</x:v>
      </x:c>
      <x:c r="B5" s="17" t="str">
        <x:v>RESERVED_USB</x:v>
      </x:c>
      <x:c r="C5" s="17" t="str">
        <x:v>USB D− / D+</x:v>
      </x:c>
      <x:c r="D5" s="17" t="str">
        <x:v>Never allocate to CF-09</x:v>
      </x:c>
      <x:c r="E5" s="17" t="str">
        <x:v>SOURCE_EXPLICIT</x:v>
      </x:c>
      <x:c r="F5" s="17" t="str">
        <x:v>PASS</x:v>
      </x:c>
    </x:row>
    <x:row r="6" ht="42" customHeight="1">
      <x:c r="A6" s="17" t="str">
        <x:v>GPIO43/44</x:v>
      </x:c>
      <x:c r="B6" s="17" t="str">
        <x:v>RESERVED_UART0</x:v>
      </x:c>
      <x:c r="C6" s="17" t="str">
        <x:v>UART0 TX / RX</x:v>
      </x:c>
      <x:c r="D6" s="17" t="str">
        <x:v>Programming, recovery and log</x:v>
      </x:c>
      <x:c r="E6" s="17" t="str">
        <x:v>SOURCE_EXPLICIT + DERIVED</x:v>
      </x:c>
      <x:c r="F6" s="17" t="str">
        <x:v>PASS</x:v>
      </x:c>
    </x:row>
    <x:row r="7" ht="42" customHeight="1">
      <x:c r="A7" s="17" t="str">
        <x:v>GPIO3</x:v>
      </x:c>
      <x:c r="B7" s="17" t="str">
        <x:v>RESTRICTED_STRAP</x:v>
      </x:c>
      <x:c r="C7" s="17" t="str">
        <x:v>No internal pull; do not leave Hi-Z</x:v>
      </x:c>
      <x:c r="D7" s="17" t="str">
        <x:v>Not TX/OE candidate</x:v>
      </x:c>
      <x:c r="E7" s="17" t="str">
        <x:v>SOURCE_EXPLICIT</x:v>
      </x:c>
      <x:c r="F7" s="17" t="str">
        <x:v>PASS</x:v>
      </x:c>
    </x:row>
    <x:row r="8" ht="42" customHeight="1">
      <x:c r="A8" s="17" t="str">
        <x:v>GPIO45</x:v>
      </x:c>
      <x:c r="B8" s="17" t="str">
        <x:v>RESTRICTED_STRAP</x:v>
      </x:c>
      <x:c r="C8" s="17" t="str">
        <x:v>N8 boot: no pull-up/high drive</x:v>
      </x:c>
      <x:c r="D8" s="17" t="str">
        <x:v>Not TX/OE candidate</x:v>
      </x:c>
      <x:c r="E8" s="17" t="str">
        <x:v>SOURCE_EXPLICIT + DERIVED</x:v>
      </x:c>
      <x:c r="F8" s="17" t="str">
        <x:v>PASS</x:v>
      </x:c>
    </x:row>
    <x:row r="9" ht="42" customHeight="1">
      <x:c r="A9" s="17" t="str">
        <x:v>GPIO35–37</x:v>
      </x:c>
      <x:c r="B9" s="17" t="str">
        <x:v>CONDITIONAL_EFUSE_CHECK</x:v>
      </x:c>
      <x:c r="C9" s="17" t="str">
        <x:v>Default eFuse function unresolved</x:v>
      </x:c>
      <x:c r="D9" s="17" t="str">
        <x:v>No final assignment</x:v>
      </x:c>
      <x:c r="E9" s="17" t="str">
        <x:v>SOURCE_EXPLICIT</x:v>
      </x:c>
      <x:c r="F9" s="17" t="str">
        <x:v>UNKNOWN</x:v>
      </x:c>
    </x:row>
    <x:row r="10" ht="42" customHeight="1">
      <x:c r="A10" s="17" t="str">
        <x:v>GPIO39–42</x:v>
      </x:c>
      <x:c r="B10" s="17" t="str">
        <x:v>CONDITIONAL_JTAG</x:v>
      </x:c>
      <x:c r="C10" s="17" t="str">
        <x:v>Pad JTAG or application GPIO</x:v>
      </x:c>
      <x:c r="D10" s="17" t="str">
        <x:v>No final assignment before JTAG decision</x:v>
      </x:c>
      <x:c r="E10" s="17" t="str">
        <x:v>SOURCE_EXPLICIT + DERIVED</x:v>
      </x:c>
      <x:c r="F10" s="17" t="str">
        <x:v>UNKNOWN</x:v>
      </x:c>
    </x:row>
    <x:row r="11" ht="42" customHeight="1">
      <x:c r="A11" s="17" t="str">
        <x:v>GPIO21/38/47/48</x:v>
      </x:c>
      <x:c r="B11" s="17" t="str">
        <x:v>UNALLOCATED_TX_CANDIDATE</x:v>
      </x:c>
      <x:c r="C11" s="17" t="str">
        <x:v>No boot glitch listed in local source</x:v>
      </x:c>
      <x:c r="D11" s="17" t="str">
        <x:v>Local UART TX candidate pool only</x:v>
      </x:c>
      <x:c r="E11" s="17" t="str">
        <x:v>DERIVED</x:v>
      </x:c>
      <x:c r="F11" s="17" t="str">
        <x:v>PROVISIONAL</x:v>
      </x:c>
    </x:row>
    <x:row r="12" ht="42" customHeight="1">
      <x:c r="A12" s="17" t="str">
        <x:v>TFT pins</x:v>
      </x:c>
      <x:c r="B12" s="17" t="str">
        <x:v>UNKNOWN</x:v>
      </x:c>
      <x:c r="C12" s="17" t="str">
        <x:v>DNP connector pin demand unresolved</x:v>
      </x:c>
      <x:c r="D12" s="17" t="str">
        <x:v>Excluded from current budget</x:v>
      </x:c>
      <x:c r="E12" s="17" t="str">
        <x:v>UNKNOWN</x:v>
      </x:c>
      <x:c r="F12" s="17" t="str">
        <x:v>UNKNOWN</x:v>
      </x:c>
    </x:row>
    <x:row r="13" ht="42" customHeight="1"/>
    <x:row r="14" ht="42" customHeight="1"/>
    <x:row r="15" ht="42" customHeight="1">
      <x:c r="A15" s="12" t="str">
        <x:v>Resource</x:v>
      </x:c>
      <x:c r="B15" s="12" t="str">
        <x:v>MIRRORED_5</x:v>
      </x:c>
      <x:c r="C15" s="12" t="str">
        <x:v>INDEPENDENT_10</x:v>
      </x:c>
      <x:c r="D15" s="12" t="str">
        <x:v>Best case</x:v>
      </x:c>
      <x:c r="E15" s="12" t="str">
        <x:v>Worst case</x:v>
      </x:c>
      <x:c r="F15" s="12" t="str">
        <x:v>Open dependency</x:v>
      </x:c>
    </x:row>
    <x:row r="16" ht="42" customHeight="1">
      <x:c r="A16" s="17" t="str">
        <x:v>Logical TX</x:v>
      </x:c>
      <x:c r="B16" s="17" t="n">
        <x:v>5</x:v>
      </x:c>
      <x:c r="C16" s="17" t="n">
        <x:v>10</x:v>
      </x:c>
      <x:c r="D16" s="17" t="str">
        <x:v>Pairwise fan-out</x:v>
      </x:c>
      <x:c r="E16" s="17" t="str">
        <x:v>Ten independent streams</x:v>
      </x:c>
      <x:c r="F16" s="17" t="str">
        <x:v>Q-C12</x:v>
      </x:c>
    </x:row>
    <x:row r="17" ht="42" customHeight="1">
      <x:c r="A17" s="17" t="str">
        <x:v>Physical TX</x:v>
      </x:c>
      <x:c r="B17" s="17" t="n">
        <x:v>10</x:v>
      </x:c>
      <x:c r="C17" s="17" t="n">
        <x:v>10</x:v>
      </x:c>
      <x:c r="D17" s="17" t="str">
        <x:v>5 TTL + 5 RS-232</x:v>
      </x:c>
      <x:c r="E17" s="17" t="str">
        <x:v>5 TTL + 5 RS-232</x:v>
      </x:c>
      <x:c r="F17" s="17" t="str">
        <x:v>Q-C14</x:v>
      </x:c>
    </x:row>
    <x:row r="18" ht="42" customHeight="1">
      <x:c r="A18" s="17" t="str">
        <x:v>Internal UART TX</x:v>
      </x:c>
      <x:c r="B18" s="17" t="n">
        <x:v>2</x:v>
      </x:c>
      <x:c r="C18" s="17" t="n">
        <x:v>2</x:v>
      </x:c>
      <x:c r="D18" s="17" t="str">
        <x:v>UART1 + UART2</x:v>
      </x:c>
      <x:c r="E18" s="17" t="str">
        <x:v>UART1 + UART2</x:v>
      </x:c>
      <x:c r="F18" s="17" t="str">
        <x:v>Final pin map</x:v>
      </x:c>
    </x:row>
    <x:row r="19" ht="42" customHeight="1">
      <x:c r="A19" s="17" t="str">
        <x:v>External UART TX</x:v>
      </x:c>
      <x:c r="B19" s="17" t="n">
        <x:v>3</x:v>
      </x:c>
      <x:c r="C19" s="17" t="n">
        <x:v>8</x:v>
      </x:c>
      <x:c r="D19" s="17" t="str">
        <x:v>1 quad bridge</x:v>
      </x:c>
      <x:c r="E19" s="17" t="str">
        <x:v>2 quad bridges</x:v>
      </x:c>
      <x:c r="F19" s="17" t="str">
        <x:v>Exact bridge</x:v>
      </x:c>
    </x:row>
    <x:row r="20" ht="42" customHeight="1">
      <x:c r="A20" s="17" t="str">
        <x:v>Host bus GPIO</x:v>
      </x:c>
      <x:c r="B20" s="17" t="n">
        <x:v>3</x:v>
      </x:c>
      <x:c r="C20" s="17" t="n">
        <x:v>3</x:v>
      </x:c>
      <x:c r="D20" s="17" t="str">
        <x:v>SPI SCLK/MOSI/MISO</x:v>
      </x:c>
      <x:c r="E20" s="17" t="str">
        <x:v>SPI SCLK/MOSI/MISO</x:v>
      </x:c>
      <x:c r="F20" s="17" t="str">
        <x:v>Final pin map</x:v>
      </x:c>
    </x:row>
    <x:row r="21" ht="42" customHeight="1">
      <x:c r="A21" s="17" t="str">
        <x:v>CS</x:v>
      </x:c>
      <x:c r="B21" s="17" t="n">
        <x:v>1</x:v>
      </x:c>
      <x:c r="C21" s="17" t="n">
        <x:v>2</x:v>
      </x:c>
      <x:c r="D21" s="17" t="str">
        <x:v>Per bridge</x:v>
      </x:c>
      <x:c r="E21" s="17" t="str">
        <x:v>Per bridge</x:v>
      </x:c>
      <x:c r="F21" s="17" t="str">
        <x:v>Exact bridge</x:v>
      </x:c>
    </x:row>
    <x:row r="22" ht="42" customHeight="1">
      <x:c r="A22" s="17" t="str">
        <x:v>IRQ / reset</x:v>
      </x:c>
      <x:c r="B22" s="17" t="str">
        <x:v>1 / 1 shared</x:v>
      </x:c>
      <x:c r="C22" s="17" t="str">
        <x:v>1 / 1 shared</x:v>
      </x:c>
      <x:c r="D22" s="17" t="str">
        <x:v>Shared</x:v>
      </x:c>
      <x:c r="E22" s="17" t="str">
        <x:v>2 / 2 isolated</x:v>
      </x:c>
      <x:c r="F22" s="17" t="str">
        <x:v>Fault containment test</x:v>
      </x:c>
    </x:row>
    <x:row r="23" ht="42" customHeight="1">
      <x:c r="A23" s="17" t="str">
        <x:v>RX / bridge sensitivity</x:v>
      </x:c>
      <x:c r="B23" s="17" t="str">
        <x:v>1 free bridge channel</x:v>
      </x:c>
      <x:c r="C23" s="17" t="str">
        <x:v>S5.RX shares TX config</x:v>
      </x:c>
      <x:c r="D23" s="17" t="str">
        <x:v>1 / 2 bridges; 0 MCU RX GPIO</x:v>
      </x:c>
      <x:c r="E23" s="17" t="str">
        <x:v>Independent RX: ninth external UART channel / 3 bridges</x:v>
      </x:c>
      <x:c r="F23" s="17" t="str">
        <x:v>Q-C13; dedicated case CF-09 GPIO 12…16</x:v>
      </x:c>
    </x:row>
    <x:row r="24" ht="42" customHeight="1"/>
    <x:row r="25" ht="42" customHeight="1"/>
    <x:row r="26" ht="42" customHeight="1">
      <x:c r="A26" s="12" t="str">
        <x:v>Candidate class</x:v>
      </x:c>
      <x:c r="B26" s="12" t="str">
        <x:v>Channels</x:v>
      </x:c>
      <x:c r="C26" s="12" t="str">
        <x:v>Official FIFO reference</x:v>
      </x:c>
      <x:c r="D26" s="12" t="str">
        <x:v>Official host reference</x:v>
      </x:c>
      <x:c r="E26" s="12" t="str">
        <x:v>Role</x:v>
      </x:c>
      <x:c r="F26" s="12" t="str">
        <x:v>Decision state</x:v>
      </x:c>
    </x:row>
    <x:row r="27" ht="42" customHeight="1">
      <x:c r="A27" s="17" t="str">
        <x:v>NXP SC16IS752</x:v>
      </x:c>
      <x:c r="B27" s="17" t="n">
        <x:v>2</x:v>
      </x:c>
      <x:c r="C27" s="17" t="str">
        <x:v>64-byte FIFO</x:v>
      </x:c>
      <x:c r="D27" s="17" t="str">
        <x:v>SPI up to 4 Mbit/s; I²C</x:v>
      </x:c>
      <x:c r="E27" s="17" t="str">
        <x:v>Dual bridge reference</x:v>
      </x:c>
      <x:c r="F27" s="17" t="str">
        <x:v>REFERENCE_ONLY</x:v>
      </x:c>
    </x:row>
    <x:row r="28" ht="42" customHeight="1">
      <x:c r="A28" s="17" t="str">
        <x:v>NXP SC16IS762</x:v>
      </x:c>
      <x:c r="B28" s="17" t="n">
        <x:v>2</x:v>
      </x:c>
      <x:c r="C28" s="17" t="str">
        <x:v>64-byte FIFO</x:v>
      </x:c>
      <x:c r="D28" s="17" t="str">
        <x:v>SPI up to 15 Mbit/s; I²C</x:v>
      </x:c>
      <x:c r="E28" s="17" t="str">
        <x:v>Dual bridge reference</x:v>
      </x:c>
      <x:c r="F28" s="17" t="str">
        <x:v>REFERENCE_ONLY</x:v>
      </x:c>
    </x:row>
    <x:row r="29" ht="42" customHeight="1">
      <x:c r="A29" s="17" t="str">
        <x:v>Analog Devices MAX14830</x:v>
      </x:c>
      <x:c r="B29" s="17" t="n">
        <x:v>4</x:v>
      </x:c>
      <x:c r="C29" s="17" t="str">
        <x:v>128-word FIFO per UART</x:v>
      </x:c>
      <x:c r="D29" s="17" t="str">
        <x:v>SPI up to 26 MHz; I²C up to 1 MHz</x:v>
      </x:c>
      <x:c r="E29" s="17" t="str">
        <x:v>Quad bridge reference</x:v>
      </x:c>
      <x:c r="F29" s="17" t="str">
        <x:v>REFERENCE_ONLY</x:v>
      </x:c>
    </x:row>
    <x:row r="30" ht="42" customHeight="1">
      <x:c r="A30" s="17" t="str">
        <x:v>Analog Devices MAX3109</x:v>
      </x:c>
      <x:c r="B30" s="17" t="n">
        <x:v>2</x:v>
      </x:c>
      <x:c r="C30" s="17" t="str">
        <x:v>128-word FIFO</x:v>
      </x:c>
      <x:c r="D30" s="17" t="str">
        <x:v>SPI up to 26 MHz; I²C up to 1 MHz</x:v>
      </x:c>
      <x:c r="E30" s="17" t="str">
        <x:v>Dual fallback reference</x:v>
      </x:c>
      <x:c r="F30" s="17" t="str">
        <x:v>REFERENCE_ONLY</x:v>
      </x:c>
    </x:row>
    <x:row r="31" ht="42" customHeight="1"/>
    <x:row r="32" ht="42" customHeight="1"/>
    <x:row r="33" ht="42" customHeight="1">
      <x:c r="A33" s="12" t="str">
        <x:v>Source</x:v>
      </x:c>
      <x:c r="B33" s="12" t="str">
        <x:v>Type</x:v>
      </x:c>
      <x:c r="C33" s="12" t="str">
        <x:v>Locator</x:v>
      </x:c>
      <x:c r="D33" s="12" t="str">
        <x:v>Used for</x:v>
      </x:c>
      <x:c r="E33" s="12" t="str">
        <x:v>Hash / state</x:v>
      </x:c>
      <x:c r="F33" s="12" t="str">
        <x:v>URL</x:v>
      </x:c>
    </x:row>
    <x:row r="34" ht="42" customHeight="1">
      <x:c r="A34" s="17" t="str">
        <x:v>CLAUDE-06 Requirement Evidence Matrix</x:v>
      </x:c>
      <x:c r="B34" s="17" t="str">
        <x:v>LOCAL</x:v>
      </x:c>
      <x:c r="C34" s="17" t="str">
        <x:v>06-Claude-Arastirma</x:v>
      </x:c>
      <x:c r="D34" s="17" t="str">
        <x:v>REQ-004-C ambiguity</x:v>
      </x:c>
      <x:c r="E34" s="17" t="str">
        <x:v>SHA256 32F182FE…C4CE</x:v>
      </x:c>
      <x:c r="F34" s="17" t="str"/>
    </x:row>
    <x:row r="35" ht="42" customHeight="1">
      <x:c r="A35" s="17" t="str">
        <x:v>CLAUDE-11 WROOM1 N8 USB GPIO</x:v>
      </x:c>
      <x:c r="B35" s="17" t="str">
        <x:v>LOCAL</x:v>
      </x:c>
      <x:c r="C35" s="17" t="str">
        <x:v>06-Claude-Arastirma</x:v>
      </x:c>
      <x:c r="D35" s="17" t="str">
        <x:v>GPIO / boot / demand</x:v>
      </x:c>
      <x:c r="E35" s="17" t="str">
        <x:v>SHA256 D9D85EF5…1F1B</x:v>
      </x:c>
      <x:c r="F35" s="17" t="str"/>
    </x:row>
    <x:row r="36" ht="42" customHeight="1">
      <x:c r="A36" s="17" t="str">
        <x:v>gpio-budget-v1.2.csv</x:v>
      </x:c>
      <x:c r="B36" s="17" t="str">
        <x:v>LOCAL</x:v>
      </x:c>
      <x:c r="C36" s="17" t="str">
        <x:v>engineering</x:v>
      </x:c>
      <x:c r="D36" s="17" t="str">
        <x:v>41-row source register</x:v>
      </x:c>
      <x:c r="E36" s="17" t="str">
        <x:v>SHA256 6E15AE82…849B</x:v>
      </x:c>
      <x:c r="F36" s="17" t="str"/>
    </x:row>
    <x:row r="37" ht="42" customHeight="1">
      <x:c r="A37" s="17" t="str">
        <x:v>ESP-IDF UART</x:v>
      </x:c>
      <x:c r="B37" s="17" t="str">
        <x:v>OFFICIAL</x:v>
      </x:c>
      <x:c r="C37" s="17" t="str">
        <x:v>Espressif</x:v>
      </x:c>
      <x:c r="D37" s="17" t="str">
        <x:v>Three UART controllers</x:v>
      </x:c>
      <x:c r="E37" s="17" t="str">
        <x:v>CURRENT WEB REFERENCE</x:v>
      </x:c>
      <x:c r="F37" s="17" t="str">
        <x:v>https://docs.espressif.com/projects/esp-idf/en/stable/esp32s3/api-reference/peripherals/uart.html</x:v>
      </x:c>
    </x:row>
    <x:row r="38" ht="42" customHeight="1">
      <x:c r="A38" s="17" t="str">
        <x:v>ESP-IDF RMT</x:v>
      </x:c>
      <x:c r="B38" s="17" t="str">
        <x:v>OFFICIAL</x:v>
      </x:c>
      <x:c r="C38" s="17" t="str">
        <x:v>Espressif</x:v>
      </x:c>
      <x:c r="D38" s="17" t="str">
        <x:v>RMT channels / custom encoder</x:v>
      </x:c>
      <x:c r="E38" s="17" t="str">
        <x:v>CURRENT WEB REFERENCE</x:v>
      </x:c>
      <x:c r="F38" s="17" t="str">
        <x:v>https://docs.espressif.com/projects/esp-idf/en/latest/esp32s3/api-reference/peripherals/rmt.html</x:v>
      </x:c>
    </x:row>
    <x:row r="39" ht="42" customHeight="1">
      <x:c r="A39" s="17" t="str">
        <x:v>RMT-as-UART issue #10128</x:v>
      </x:c>
      <x:c r="B39" s="17" t="str">
        <x:v>PRIMARY</x:v>
      </x:c>
      <x:c r="C39" s="17" t="str">
        <x:v>Espressif GitHub</x:v>
      </x:c>
      <x:c r="D39" s="17" t="str">
        <x:v>Feature-request state</x:v>
      </x:c>
      <x:c r="E39" s="17" t="str">
        <x:v>OPEN / IN PROGRESS WHEN RESEARCHED</x:v>
      </x:c>
      <x:c r="F39" s="17" t="str">
        <x:v>https://github.com/espressif/esp-idf/issues/10128</x:v>
      </x:c>
    </x:row>
    <x:row r="40" ht="42" customHeight="1">
      <x:c r="A40" s="17" t="str">
        <x:v>SC16IS752/762 datasheet</x:v>
      </x:c>
      <x:c r="B40" s="17" t="str">
        <x:v>OFFICIAL</x:v>
      </x:c>
      <x:c r="C40" s="17" t="str">
        <x:v>NXP</x:v>
      </x:c>
      <x:c r="D40" s="17" t="str">
        <x:v>Dual bridge reference</x:v>
      </x:c>
      <x:c r="E40" s="17" t="str">
        <x:v>EXACT PART NOT SELECTED</x:v>
      </x:c>
      <x:c r="F40" s="17" t="str">
        <x:v>https://www.nxp.com/docs/en/data-sheet/SC16IS752_SC16IS762.pdf</x:v>
      </x:c>
    </x:row>
    <x:row r="41" ht="42" customHeight="1">
      <x:c r="A41" s="17" t="str">
        <x:v>MAX14830 product page</x:v>
      </x:c>
      <x:c r="B41" s="17" t="str">
        <x:v>OFFICIAL</x:v>
      </x:c>
      <x:c r="C41" s="17" t="str">
        <x:v>Analog Devices</x:v>
      </x:c>
      <x:c r="D41" s="17" t="str">
        <x:v>Quad bridge reference</x:v>
      </x:c>
      <x:c r="E41" s="17" t="str">
        <x:v>EXACT PART NOT SELECTED</x:v>
      </x:c>
      <x:c r="F41" s="17" t="str">
        <x:v>https://www.analog.com/en/products/max14830.html</x:v>
      </x:c>
    </x:row>
    <x:row r="42" ht="42" customHeight="1">
      <x:c r="A42" s="17" t="str">
        <x:v>MAX3109 product page</x:v>
      </x:c>
      <x:c r="B42" s="17" t="str">
        <x:v>OFFICIAL</x:v>
      </x:c>
      <x:c r="C42" s="17" t="str">
        <x:v>Analog Devices</x:v>
      </x:c>
      <x:c r="D42" s="17" t="str">
        <x:v>Dual bridge reference</x:v>
      </x:c>
      <x:c r="E42" s="17" t="str">
        <x:v>EXACT PART NOT SELECTED</x:v>
      </x:c>
      <x:c r="F42" s="17" t="str">
        <x:v>https://www.analog.com/en/products/max3109.html</x:v>
      </x:c>
    </x:row>
  </x:sheetData>
  <x:mergeCells>
    <x:mergeCell ref="A1:F1"/>
    <x:mergeCell ref="A2:F2"/>
  </x:mergeCells>
  <x:pageMargins left="0.7" right="0.7" top="0.75" bottom="0.75" header="0.3" footer="0.3"/>
  <x:tableParts count="4">
    <x:tablePart xmlns:r="http://schemas.openxmlformats.org/officeDocument/2006/relationships" r:id="R86417e16424f4d56"/>
    <x:tablePart xmlns:r="http://schemas.openxmlformats.org/officeDocument/2006/relationships" r:id="R4fc3b6e4dcdc41ed"/>
    <x:tablePart xmlns:r="http://schemas.openxmlformats.org/officeDocument/2006/relationships" r:id="R7433be0683b044dd"/>
    <x:tablePart xmlns:r="http://schemas.openxmlformats.org/officeDocument/2006/relationships" r:id="Rba1169bbe81141d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8.75" hidden="0" customWidth="1"/>
    <x:col min="2" max="2" width="11.880000114440918" hidden="0" customWidth="1"/>
    <x:col min="3" max="3" width="11.880000114440918" hidden="0" customWidth="1"/>
    <x:col min="4" max="4" width="11.880000114440918" hidden="0" customWidth="1"/>
    <x:col min="5" max="5" width="11.880000114440918" hidden="0" customWidth="1"/>
    <x:col min="6" max="6" width="31.25" hidden="0" customWidth="1"/>
    <x:col min="7" max="7" width="16.25" hidden="0" customWidth="1"/>
    <x:col min="8" max="8" width="26.25" hidden="0" customWidth="1"/>
    <x:col min="9" max="9" width="26.25" hidden="0" customWidth="1"/>
    <x:col min="10" max="10" width="26.25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18.75" hidden="0" customWidth="1"/>
    <x:col min="15" max="15" width="18.75" hidden="0" customWidth="1"/>
    <x:col min="16" max="16" width="26.25" hidden="0" customWidth="1"/>
    <x:col min="17" max="17" width="26.25" hidden="0" customWidth="1"/>
    <x:col min="18" max="18" width="26.25" hidden="0" customWidth="1"/>
    <x:col min="19" max="19" width="26.25" hidden="0" customWidth="1"/>
    <x:col min="20" max="20" width="26.25" hidden="0" customWidth="1"/>
    <x:col min="21" max="21" width="26.25" hidden="0" customWidth="1"/>
    <x:col min="22" max="22" width="26.25" hidden="0" customWidth="1"/>
    <x:col min="23" max="23" width="26.25" hidden="0" customWidth="1"/>
    <x:col min="24" max="24" width="26.25" hidden="0" customWidth="1"/>
  </x:cols>
  <x:sheetData>
    <x:row r="1" ht="44" customHeight="1">
      <x:c r="A1" s="35" t="str">
        <x:v>module_pin</x:v>
      </x:c>
      <x:c r="B1" s="35" t="str">
        <x:v>name</x:v>
      </x:c>
      <x:c r="C1" s="35" t="str">
        <x:v>gpio</x:v>
      </x:c>
      <x:c r="D1" s="35" t="str">
        <x:v>exposed_on_module</x:v>
      </x:c>
      <x:c r="E1" s="35" t="str">
        <x:v>usable_on_N8</x:v>
      </x:c>
      <x:c r="F1" s="35" t="str">
        <x:v>constraint</x:v>
      </x:c>
      <x:c r="G1" s="35" t="str">
        <x:v>evidence_class</x:v>
      </x:c>
      <x:c r="H1" s="35" t="str">
        <x:v>source</x:v>
      </x:c>
      <x:c r="I1" s="35" t="str">
        <x:v>recommended_role_class</x:v>
      </x:c>
      <x:c r="J1" s="35" t="str">
        <x:v>source_record</x:v>
      </x:c>
      <x:c r="K1" s="35" t="str">
        <x:v>source_claim_ids</x:v>
      </x:c>
      <x:c r="L1" s="35" t="str">
        <x:v>allocation_status</x:v>
      </x:c>
      <x:c r="M1" s="35" t="str">
        <x:v>wf01_assignment</x:v>
      </x:c>
      <x:c r="N1" s="35" t="str">
        <x:v>decision_or_conflict</x:v>
      </x:c>
      <x:c r="O1" s="35" t="str">
        <x:v>serial_topology_status</x:v>
      </x:c>
      <x:c r="P1" s="35" t="str">
        <x:v>notes</x:v>
      </x:c>
      <x:c r="Q1" s="35" t="str">
        <x:v>g1_scope</x:v>
      </x:c>
      <x:c r="R1" s="35" t="str">
        <x:v>g1_status</x:v>
      </x:c>
      <x:c r="S1" s="35" t="str">
        <x:v>technical_handoff</x:v>
      </x:c>
      <x:c r="T1" s="35" t="str">
        <x:v>technical_status</x:v>
      </x:c>
      <x:c r="U1" s="35" t="str">
        <x:v>approval_ref</x:v>
      </x:c>
      <x:c r="V1" s="35" t="str">
        <x:v>architecture_ref</x:v>
      </x:c>
      <x:c r="W1" s="35" t="str">
        <x:v>verification_ref</x:v>
      </x:c>
      <x:c r="X1" s="35" t="str">
        <x:v>pin_freeze_prerequisites</x:v>
      </x:c>
    </x:row>
    <x:row r="2" ht="44" customHeight="1">
      <x:c r="A2" s="37" t="str">
        <x:v>1</x:v>
      </x:c>
      <x:c r="B2" s="37" t="str">
        <x:v>GND</x:v>
      </x:c>
      <x:c r="C2" s="37" t="str">
        <x:v>—</x:v>
      </x:c>
      <x:c r="D2" s="37" t="str">
        <x:v>—</x:v>
      </x:c>
      <x:c r="E2" s="37" t="str">
        <x:v>—</x:v>
      </x:c>
      <x:c r="F2" s="38" t="str">
        <x:v>Toprak</x:v>
      </x:c>
      <x:c r="G2" s="38" t="str">
        <x:v>SOURCE_EXPLICIT</x:v>
      </x:c>
      <x:c r="H2" s="38" t="str">
        <x:v>WROOM-1 DS v1.8 (PKG-B 07) s.11 T3-1</x:v>
      </x:c>
      <x:c r="I2" s="38" t="str">
        <x:v>—</x:v>
      </x:c>
      <x:c r="J2" s="38" t="str">
        <x:v>CLAUDE-11a-WROOM1-N8-Pin-Evidence.csv</x:v>
      </x:c>
      <x:c r="K2" s="38" t="str"/>
      <x:c r="L2" s="38" t="str">
        <x:v>NOT_APPLICABLE</x:v>
      </x:c>
      <x:c r="M2" s="38" t="str">
        <x:v>GND</x:v>
      </x:c>
      <x:c r="N2" s="38" t="str"/>
      <x:c r="O2" s="38" t="str">
        <x:v>PASS</x:v>
      </x:c>
      <x:c r="P2" s="38" t="str">
        <x:v>Kaynak satırı aynen içe alındı</x:v>
      </x:c>
      <x:c r="Q2" s="38" t="str">
        <x:v>G1-JOB01/REP01</x:v>
      </x:c>
      <x:c r="R2" s="38" t="str">
        <x:v>PASS</x:v>
      </x:c>
      <x:c r="S2" s="38" t="str">
        <x:v>NONE</x:v>
      </x:c>
      <x:c r="T2" s="38" t="str">
        <x:v>NOT_RUN</x:v>
      </x:c>
      <x:c r="U2" s="38" t="str">
        <x:v>WF01-G1-Karar-Paketi-v1.3; kullanıcı aracılığıyla insan onayı 2026-10-18</x:v>
      </x:c>
      <x:c r="V2" s="38" t="str">
        <x:v>NONE — OUTSIDE_CF09</x:v>
      </x:c>
      <x:c r="W2" s="38" t="str">
        <x:v>NONE — OUTSIDE_CF09</x:v>
      </x:c>
      <x:c r="X2" s="38" t="str">
        <x:v>NONE</x:v>
      </x:c>
    </x:row>
    <x:row r="3" ht="44" customHeight="1">
      <x:c r="A3" s="37" t="str">
        <x:v>2</x:v>
      </x:c>
      <x:c r="B3" s="37" t="str">
        <x:v>3V3</x:v>
      </x:c>
      <x:c r="C3" s="37" t="str">
        <x:v>—</x:v>
      </x:c>
      <x:c r="D3" s="37" t="str">
        <x:v>—</x:v>
      </x:c>
      <x:c r="E3" s="37" t="str">
        <x:v>—</x:v>
      </x:c>
      <x:c r="F3" s="38" t="str">
        <x:v>Besleme 3,0–3,6 V; dış kaynak ≥0,5 A</x:v>
      </x:c>
      <x:c r="G3" s="38" t="str">
        <x:v>SOURCE_EXPLICIT</x:v>
      </x:c>
      <x:c r="H3" s="38" t="str">
        <x:v>WROOM-1 DS v1.8 (PKG-B 07) s.27 T6-2</x:v>
      </x:c>
      <x:c r="I3" s="38" t="str">
        <x:v>—</x:v>
      </x:c>
      <x:c r="J3" s="38" t="str">
        <x:v>CLAUDE-11a-WROOM1-N8-Pin-Evidence.csv</x:v>
      </x:c>
      <x:c r="K3" s="38" t="str">
        <x:v>C11-007</x:v>
      </x:c>
      <x:c r="L3" s="38" t="str">
        <x:v>RESERVED_POWER</x:v>
      </x:c>
      <x:c r="M3" s="38" t="str">
        <x:v>3V3</x:v>
      </x:c>
      <x:c r="N3" s="38" t="str"/>
      <x:c r="O3" s="38" t="str">
        <x:v>PASS</x:v>
      </x:c>
      <x:c r="P3" s="38" t="str">
        <x:v>Sayısal yük bütçesi REQ-002-I altında BLOCKED</x:v>
      </x:c>
      <x:c r="Q3" s="38" t="str">
        <x:v>G1-JOB01/REP01</x:v>
      </x:c>
      <x:c r="R3" s="38" t="str">
        <x:v>PASS</x:v>
      </x:c>
      <x:c r="S3" s="38" t="str">
        <x:v>G2-H02-POWER-OR-CONTROL</x:v>
      </x:c>
      <x:c r="T3" s="38" t="str">
        <x:v>PASS</x:v>
      </x:c>
      <x:c r="U3" s="38" t="str">
        <x:v>WF01-G1-Karar-Paketi-v1.3; kullanıcı aracılığıyla insan onayı 2026-10-18</x:v>
      </x:c>
      <x:c r="V3" s="38" t="str">
        <x:v>NONE — OUTSIDE_CF09</x:v>
      </x:c>
      <x:c r="W3" s="38" t="str">
        <x:v>NONE — OUTSIDE_CF09</x:v>
      </x:c>
      <x:c r="X3" s="38" t="str">
        <x:v>NONE</x:v>
      </x:c>
    </x:row>
    <x:row r="4" ht="44" customHeight="1">
      <x:c r="A4" s="37" t="str">
        <x:v>3</x:v>
      </x:c>
      <x:c r="B4" s="37" t="str">
        <x:v>EN</x:v>
      </x:c>
      <x:c r="C4" s="37" t="str">
        <x:v>CHIP_PU</x:v>
      </x:c>
      <x:c r="D4" s="37" t="str">
        <x:v>—</x:v>
      </x:c>
      <x:c r="E4" s="37" t="str">
        <x:v>—</x:v>
      </x:c>
      <x:c r="F4" s="38" t="str">
        <x:v>Boşta bırakılmaz; RC gecikme önerisi 10 kΩ / 1 µF (zamanlamaya göre ayarlanır)</x:v>
      </x:c>
      <x:c r="G4" s="38" t="str">
        <x:v>SOURCE_EXPLICIT</x:v>
      </x:c>
      <x:c r="H4" s="38" t="str">
        <x:v>WROOM-1 DS v1.8 (PKG-B 07) s.11 T3-1; s.41 §9</x:v>
      </x:c>
      <x:c r="I4" s="38" t="str">
        <x:v>Reset/supervisor çıkışı</x:v>
      </x:c>
      <x:c r="J4" s="38" t="str">
        <x:v>CLAUDE-11a-WROOM1-N8-Pin-Evidence.csv</x:v>
      </x:c>
      <x:c r="K4" s="38" t="str">
        <x:v>C11-009</x:v>
      </x:c>
      <x:c r="L4" s="38" t="str">
        <x:v>RESERVED_CONTROL</x:v>
      </x:c>
      <x:c r="M4" s="38" t="str">
        <x:v>EN_RESET</x:v>
      </x:c>
      <x:c r="N4" s="38" t="str">
        <x:v>supervisor_exact_part_UNKNOWN</x:v>
      </x:c>
      <x:c r="O4" s="38" t="str">
        <x:v>PASS</x:v>
      </x:c>
      <x:c r="P4" s="38" t="str">
        <x:v>Nihai RC değerleri zaman doğrulamasına bağlı</x:v>
      </x:c>
      <x:c r="Q4" s="38" t="str">
        <x:v>G1-JOB01/REP01</x:v>
      </x:c>
      <x:c r="R4" s="38" t="str">
        <x:v>PASS</x:v>
      </x:c>
      <x:c r="S4" s="38" t="str">
        <x:v>G2-H02-POWER-OR-CONTROL</x:v>
      </x:c>
      <x:c r="T4" s="38" t="str">
        <x:v>UNKNOWN</x:v>
      </x:c>
      <x:c r="U4" s="38" t="str">
        <x:v>WF01-G1-Karar-Paketi-v1.3; kullanıcı aracılığıyla insan onayı 2026-10-18</x:v>
      </x:c>
      <x:c r="V4" s="38" t="str">
        <x:v>NONE — OUTSIDE_CF09</x:v>
      </x:c>
      <x:c r="W4" s="38" t="str">
        <x:v>NONE — OUTSIDE_CF09</x:v>
      </x:c>
      <x:c r="X4" s="38" t="str">
        <x:v>NONE</x:v>
      </x:c>
    </x:row>
    <x:row r="5" ht="44" customHeight="1">
      <x:c r="A5" s="37" t="str">
        <x:v>4</x:v>
      </x:c>
      <x:c r="B5" s="37" t="str">
        <x:v>IO4</x:v>
      </x:c>
      <x:c r="C5" s="37" t="str">
        <x:v>4</x:v>
      </x:c>
      <x:c r="D5" s="37" t="str">
        <x:v>YES</x:v>
      </x:c>
      <x:c r="E5" s="37" t="str">
        <x:v>YES</x:v>
      </x:c>
      <x:c r="F5" s="38" t="str">
        <x:v>Açılışta ~60 µs düşük seviye glitch; ADC1_CH3</x:v>
      </x:c>
      <x:c r="G5" s="38" t="str">
        <x:v>SOURCE_EXPLICIT</x:v>
      </x:c>
      <x:c r="H5" s="38" t="str">
        <x:v>ESP32-S3 DS v2.0 s.17 T2-2; WROOM-1 DS v1.8 (PKG-B 07) s.11</x:v>
      </x:c>
      <x:c r="I5" s="38" t="str">
        <x:v>Giriş/yavaş sinyal</x:v>
      </x:c>
      <x:c r="J5" s="38" t="str">
        <x:v>CLAUDE-11a-WROOM1-N8-Pin-Evidence.csv</x:v>
      </x:c>
      <x:c r="K5" s="38" t="str"/>
      <x:c r="L5" s="38" t="str">
        <x:v>UNALLOCATED_CONSTRAINED</x:v>
      </x:c>
      <x:c r="M5" s="38" t="str">
        <x:v>UNKNOWN</x:v>
      </x:c>
      <x:c r="N5" s="38" t="str">
        <x:v>CF-09</x:v>
      </x:c>
      <x:c r="O5" s="38" t="str">
        <x:v>BLOCKED</x:v>
      </x:c>
      <x:c r="P5" s="38" t="str">
        <x:v>Boot glitch nedeniyle doğrudan TX kararı verilmedi</x:v>
      </x:c>
      <x:c r="Q5" s="38" t="str">
        <x:v>G1-JOB01/REP01</x:v>
      </x:c>
      <x:c r="R5" s="38" t="str">
        <x:v>BLOCKED</x:v>
      </x:c>
      <x:c r="S5" s="38" t="str">
        <x:v>G2-H03-PIN-FREEZE</x:v>
      </x:c>
      <x:c r="T5" s="38" t="str">
        <x:v>BLOCKED</x:v>
      </x:c>
      <x:c r="U5" s="38" t="str">
        <x:v>WF01-G1-Karar-Paketi-v1.3; kullanıcı aracılığıyla insan onayı 2026-10-18</x:v>
      </x:c>
      <x:c r="V5" s="38" t="str">
        <x:v>WF01-CF09-Mimari-Karar-Matrisi-v1.1; MIR-EXT-1; MIR-HYB-1; MIR-GLOBAL-1; IND-EXT-1; IND-INT-1; IND-HELP-1</x:v>
      </x:c>
      <x:c r="W5" s="38" t="str">
        <x:v>V-FW-01; V-BOOT-01</x:v>
      </x:c>
      <x:c r="X5" s="38" t="str">
        <x:v>V-REQ-01; V-MAP-01; V-FW-01; Q-C12; Q-C13; Q-C14; Q-C15</x:v>
      </x:c>
    </x:row>
    <x:row r="6" ht="44" customHeight="1">
      <x:c r="A6" s="37" t="str">
        <x:v>5</x:v>
      </x:c>
      <x:c r="B6" s="37" t="str">
        <x:v>IO5</x:v>
      </x:c>
      <x:c r="C6" s="37" t="str">
        <x:v>5</x:v>
      </x:c>
      <x:c r="D6" s="37" t="str">
        <x:v>YES</x:v>
      </x:c>
      <x:c r="E6" s="37" t="str">
        <x:v>YES</x:v>
      </x:c>
      <x:c r="F6" s="38" t="str">
        <x:v>Açılışta ~60 µs düşük seviye glitch; ADC1_CH4</x:v>
      </x:c>
      <x:c r="G6" s="38" t="str">
        <x:v>SOURCE_EXPLICIT</x:v>
      </x:c>
      <x:c r="H6" s="38" t="str">
        <x:v>ESP32-S3 DS v2.0 s.17 T2-2</x:v>
      </x:c>
      <x:c r="I6" s="38" t="str">
        <x:v>Giriş/yavaş sinyal</x:v>
      </x:c>
      <x:c r="J6" s="38" t="str">
        <x:v>CLAUDE-11a-WROOM1-N8-Pin-Evidence.csv</x:v>
      </x:c>
      <x:c r="K6" s="38" t="str"/>
      <x:c r="L6" s="38" t="str">
        <x:v>UNALLOCATED_CONSTRAINED</x:v>
      </x:c>
      <x:c r="M6" s="38" t="str">
        <x:v>UNKNOWN</x:v>
      </x:c>
      <x:c r="N6" s="38" t="str">
        <x:v>CF-09</x:v>
      </x:c>
      <x:c r="O6" s="38" t="str">
        <x:v>BLOCKED</x:v>
      </x:c>
      <x:c r="P6" s="38" t="str">
        <x:v>Boot glitch nedeniyle doğrudan TX kararı verilmedi</x:v>
      </x:c>
      <x:c r="Q6" s="38" t="str">
        <x:v>G1-JOB01/REP01</x:v>
      </x:c>
      <x:c r="R6" s="38" t="str">
        <x:v>BLOCKED</x:v>
      </x:c>
      <x:c r="S6" s="38" t="str">
        <x:v>G2-H03-PIN-FREEZE</x:v>
      </x:c>
      <x:c r="T6" s="38" t="str">
        <x:v>BLOCKED</x:v>
      </x:c>
      <x:c r="U6" s="38" t="str">
        <x:v>WF01-G1-Karar-Paketi-v1.3; kullanıcı aracılığıyla insan onayı 2026-10-18</x:v>
      </x:c>
      <x:c r="V6" s="38" t="str">
        <x:v>WF01-CF09-Mimari-Karar-Matrisi-v1.1; MIR-EXT-1; MIR-HYB-1; MIR-GLOBAL-1; IND-EXT-1; IND-INT-1; IND-HELP-1</x:v>
      </x:c>
      <x:c r="W6" s="38" t="str">
        <x:v>V-FW-01; V-BOOT-01</x:v>
      </x:c>
      <x:c r="X6" s="38" t="str">
        <x:v>V-REQ-01; V-MAP-01; V-FW-01; Q-C12; Q-C13; Q-C14; Q-C15</x:v>
      </x:c>
    </x:row>
    <x:row r="7" ht="44" customHeight="1">
      <x:c r="A7" s="37" t="str">
        <x:v>6</x:v>
      </x:c>
      <x:c r="B7" s="37" t="str">
        <x:v>IO6</x:v>
      </x:c>
      <x:c r="C7" s="37" t="str">
        <x:v>6</x:v>
      </x:c>
      <x:c r="D7" s="37" t="str">
        <x:v>YES</x:v>
      </x:c>
      <x:c r="E7" s="37" t="str">
        <x:v>YES</x:v>
      </x:c>
      <x:c r="F7" s="38" t="str">
        <x:v>Açılışta ~60 µs düşük seviye glitch; ADC1_CH5</x:v>
      </x:c>
      <x:c r="G7" s="38" t="str">
        <x:v>SOURCE_EXPLICIT</x:v>
      </x:c>
      <x:c r="H7" s="38" t="str">
        <x:v>ESP32-S3 DS v2.0 s.17 T2-2</x:v>
      </x:c>
      <x:c r="I7" s="38" t="str">
        <x:v>Giriş/yavaş sinyal</x:v>
      </x:c>
      <x:c r="J7" s="38" t="str">
        <x:v>CLAUDE-11a-WROOM1-N8-Pin-Evidence.csv</x:v>
      </x:c>
      <x:c r="K7" s="38" t="str"/>
      <x:c r="L7" s="38" t="str">
        <x:v>UNALLOCATED_CONSTRAINED</x:v>
      </x:c>
      <x:c r="M7" s="38" t="str">
        <x:v>UNKNOWN</x:v>
      </x:c>
      <x:c r="N7" s="38" t="str">
        <x:v>CF-09</x:v>
      </x:c>
      <x:c r="O7" s="38" t="str">
        <x:v>BLOCKED</x:v>
      </x:c>
      <x:c r="P7" s="38" t="str">
        <x:v>Boot glitch nedeniyle doğrudan TX kararı verilmedi</x:v>
      </x:c>
      <x:c r="Q7" s="38" t="str">
        <x:v>G1-JOB01/REP01</x:v>
      </x:c>
      <x:c r="R7" s="38" t="str">
        <x:v>BLOCKED</x:v>
      </x:c>
      <x:c r="S7" s="38" t="str">
        <x:v>G2-H03-PIN-FREEZE</x:v>
      </x:c>
      <x:c r="T7" s="38" t="str">
        <x:v>BLOCKED</x:v>
      </x:c>
      <x:c r="U7" s="38" t="str">
        <x:v>WF01-G1-Karar-Paketi-v1.3; kullanıcı aracılığıyla insan onayı 2026-10-18</x:v>
      </x:c>
      <x:c r="V7" s="38" t="str">
        <x:v>WF01-CF09-Mimari-Karar-Matrisi-v1.1; MIR-EXT-1; MIR-HYB-1; MIR-GLOBAL-1; IND-EXT-1; IND-INT-1; IND-HELP-1</x:v>
      </x:c>
      <x:c r="W7" s="38" t="str">
        <x:v>V-FW-01; V-BOOT-01</x:v>
      </x:c>
      <x:c r="X7" s="38" t="str">
        <x:v>V-REQ-01; V-MAP-01; V-FW-01; Q-C12; Q-C13; Q-C14; Q-C15</x:v>
      </x:c>
    </x:row>
    <x:row r="8" ht="44" customHeight="1">
      <x:c r="A8" s="37" t="str">
        <x:v>7</x:v>
      </x:c>
      <x:c r="B8" s="37" t="str">
        <x:v>IO7</x:v>
      </x:c>
      <x:c r="C8" s="37" t="str">
        <x:v>7</x:v>
      </x:c>
      <x:c r="D8" s="37" t="str">
        <x:v>YES</x:v>
      </x:c>
      <x:c r="E8" s="37" t="str">
        <x:v>YES</x:v>
      </x:c>
      <x:c r="F8" s="38" t="str">
        <x:v>Açılışta ~60 µs düşük seviye glitch; ADC1_CH6</x:v>
      </x:c>
      <x:c r="G8" s="38" t="str">
        <x:v>SOURCE_EXPLICIT</x:v>
      </x:c>
      <x:c r="H8" s="38" t="str">
        <x:v>ESP32-S3 DS v2.0 s.17 T2-2</x:v>
      </x:c>
      <x:c r="I8" s="38" t="str">
        <x:v>Giriş/yavaş sinyal</x:v>
      </x:c>
      <x:c r="J8" s="38" t="str">
        <x:v>CLAUDE-11a-WROOM1-N8-Pin-Evidence.csv</x:v>
      </x:c>
      <x:c r="K8" s="38" t="str"/>
      <x:c r="L8" s="38" t="str">
        <x:v>UNALLOCATED_CONSTRAINED</x:v>
      </x:c>
      <x:c r="M8" s="38" t="str">
        <x:v>UNKNOWN</x:v>
      </x:c>
      <x:c r="N8" s="38" t="str">
        <x:v>CF-09</x:v>
      </x:c>
      <x:c r="O8" s="38" t="str">
        <x:v>BLOCKED</x:v>
      </x:c>
      <x:c r="P8" s="38" t="str">
        <x:v>Boot glitch nedeniyle doğrudan TX kararı verilmedi</x:v>
      </x:c>
      <x:c r="Q8" s="38" t="str">
        <x:v>G1-JOB01/REP01</x:v>
      </x:c>
      <x:c r="R8" s="38" t="str">
        <x:v>BLOCKED</x:v>
      </x:c>
      <x:c r="S8" s="38" t="str">
        <x:v>G2-H03-PIN-FREEZE</x:v>
      </x:c>
      <x:c r="T8" s="38" t="str">
        <x:v>BLOCKED</x:v>
      </x:c>
      <x:c r="U8" s="38" t="str">
        <x:v>WF01-G1-Karar-Paketi-v1.3; kullanıcı aracılığıyla insan onayı 2026-10-18</x:v>
      </x:c>
      <x:c r="V8" s="38" t="str">
        <x:v>WF01-CF09-Mimari-Karar-Matrisi-v1.1; MIR-EXT-1; MIR-HYB-1; MIR-GLOBAL-1; IND-EXT-1; IND-INT-1; IND-HELP-1</x:v>
      </x:c>
      <x:c r="W8" s="38" t="str">
        <x:v>V-FW-01; V-BOOT-01</x:v>
      </x:c>
      <x:c r="X8" s="38" t="str">
        <x:v>V-REQ-01; V-MAP-01; V-FW-01; Q-C12; Q-C13; Q-C14; Q-C15</x:v>
      </x:c>
    </x:row>
    <x:row r="9" ht="44" customHeight="1">
      <x:c r="A9" s="37" t="str">
        <x:v>8</x:v>
      </x:c>
      <x:c r="B9" s="37" t="str">
        <x:v>IO15</x:v>
      </x:c>
      <x:c r="C9" s="37" t="str">
        <x:v>15</x:v>
      </x:c>
      <x:c r="D9" s="37" t="str">
        <x:v>YES</x:v>
      </x:c>
      <x:c r="E9" s="37" t="str">
        <x:v>YES</x:v>
      </x:c>
      <x:c r="F9" s="38" t="str">
        <x:v>Açılışta ~60 µs düşük seviye glitch (XTAL_32K_P); ADC2 — Wi-Fi ile ADC olarak kullanılamaz</x:v>
      </x:c>
      <x:c r="G9" s="38" t="str">
        <x:v>SOURCE_EXPLICIT</x:v>
      </x:c>
      <x:c r="H9" s="38" t="str">
        <x:v>ESP32-S3 DS v2.0 s.17 T2-2; s.58 §4.2.2.1</x:v>
      </x:c>
      <x:c r="I9" s="38" t="str">
        <x:v>Giriş/yavaş sinyal</x:v>
      </x:c>
      <x:c r="J9" s="38" t="str">
        <x:v>CLAUDE-11a-WROOM1-N8-Pin-Evidence.csv</x:v>
      </x:c>
      <x:c r="K9" s="38" t="str"/>
      <x:c r="L9" s="38" t="str">
        <x:v>UNALLOCATED_CONSTRAINED</x:v>
      </x:c>
      <x:c r="M9" s="38" t="str">
        <x:v>UNKNOWN</x:v>
      </x:c>
      <x:c r="N9" s="38" t="str">
        <x:v>CF-09</x:v>
      </x:c>
      <x:c r="O9" s="38" t="str">
        <x:v>BLOCKED</x:v>
      </x:c>
      <x:c r="P9" s="38" t="str">
        <x:v>ADC2/Wi-Fi ve boot glitch kısıtları korunur</x:v>
      </x:c>
      <x:c r="Q9" s="38" t="str">
        <x:v>G1-JOB01/REP01</x:v>
      </x:c>
      <x:c r="R9" s="38" t="str">
        <x:v>BLOCKED</x:v>
      </x:c>
      <x:c r="S9" s="38" t="str">
        <x:v>G2-H03-PIN-FREEZE</x:v>
      </x:c>
      <x:c r="T9" s="38" t="str">
        <x:v>BLOCKED</x:v>
      </x:c>
      <x:c r="U9" s="38" t="str">
        <x:v>WF01-G1-Karar-Paketi-v1.3; kullanıcı aracılığıyla insan onayı 2026-10-18</x:v>
      </x:c>
      <x:c r="V9" s="38" t="str">
        <x:v>WF01-CF09-Mimari-Karar-Matrisi-v1.1; MIR-EXT-1; MIR-HYB-1; MIR-GLOBAL-1; IND-EXT-1; IND-INT-1; IND-HELP-1</x:v>
      </x:c>
      <x:c r="W9" s="38" t="str">
        <x:v>V-FW-01; V-BOOT-01</x:v>
      </x:c>
      <x:c r="X9" s="38" t="str">
        <x:v>V-REQ-01; V-MAP-01; V-FW-01; Q-C12; Q-C13; Q-C14; Q-C15</x:v>
      </x:c>
    </x:row>
    <x:row r="10" ht="44" customHeight="1">
      <x:c r="A10" s="37" t="str">
        <x:v>9</x:v>
      </x:c>
      <x:c r="B10" s="37" t="str">
        <x:v>IO16</x:v>
      </x:c>
      <x:c r="C10" s="37" t="str">
        <x:v>16</x:v>
      </x:c>
      <x:c r="D10" s="37" t="str">
        <x:v>YES</x:v>
      </x:c>
      <x:c r="E10" s="37" t="str">
        <x:v>YES</x:v>
      </x:c>
      <x:c r="F10" s="38" t="str">
        <x:v>Açılışta ~60 µs düşük seviye glitch (XTAL_32K_N); ADC2</x:v>
      </x:c>
      <x:c r="G10" s="38" t="str">
        <x:v>SOURCE_EXPLICIT</x:v>
      </x:c>
      <x:c r="H10" s="38" t="str">
        <x:v>ESP32-S3 DS v2.0 s.17 T2-2; s.58</x:v>
      </x:c>
      <x:c r="I10" s="38" t="str">
        <x:v>Giriş/yavaş sinyal</x:v>
      </x:c>
      <x:c r="J10" s="38" t="str">
        <x:v>CLAUDE-11a-WROOM1-N8-Pin-Evidence.csv</x:v>
      </x:c>
      <x:c r="K10" s="38" t="str"/>
      <x:c r="L10" s="38" t="str">
        <x:v>UNALLOCATED_CONSTRAINED</x:v>
      </x:c>
      <x:c r="M10" s="38" t="str">
        <x:v>UNKNOWN</x:v>
      </x:c>
      <x:c r="N10" s="38" t="str">
        <x:v>CF-09</x:v>
      </x:c>
      <x:c r="O10" s="38" t="str">
        <x:v>BLOCKED</x:v>
      </x:c>
      <x:c r="P10" s="38" t="str">
        <x:v>Boot glitch kısıtı korunur</x:v>
      </x:c>
      <x:c r="Q10" s="38" t="str">
        <x:v>G1-JOB01/REP01</x:v>
      </x:c>
      <x:c r="R10" s="38" t="str">
        <x:v>BLOCKED</x:v>
      </x:c>
      <x:c r="S10" s="38" t="str">
        <x:v>G2-H03-PIN-FREEZE</x:v>
      </x:c>
      <x:c r="T10" s="38" t="str">
        <x:v>BLOCKED</x:v>
      </x:c>
      <x:c r="U10" s="38" t="str">
        <x:v>WF01-G1-Karar-Paketi-v1.3; kullanıcı aracılığıyla insan onayı 2026-10-18</x:v>
      </x:c>
      <x:c r="V10" s="38" t="str">
        <x:v>WF01-CF09-Mimari-Karar-Matrisi-v1.1; MIR-EXT-1; MIR-HYB-1; MIR-GLOBAL-1; IND-EXT-1; IND-INT-1; IND-HELP-1</x:v>
      </x:c>
      <x:c r="W10" s="38" t="str">
        <x:v>V-FW-01; V-BOOT-01</x:v>
      </x:c>
      <x:c r="X10" s="38" t="str">
        <x:v>V-REQ-01; V-MAP-01; V-FW-01; Q-C12; Q-C13; Q-C14; Q-C15</x:v>
      </x:c>
    </x:row>
    <x:row r="11" ht="44" customHeight="1">
      <x:c r="A11" s="37" t="str">
        <x:v>10</x:v>
      </x:c>
      <x:c r="B11" s="37" t="str">
        <x:v>IO17</x:v>
      </x:c>
      <x:c r="C11" s="37" t="str">
        <x:v>17</x:v>
      </x:c>
      <x:c r="D11" s="37" t="str">
        <x:v>YES</x:v>
      </x:c>
      <x:c r="E11" s="37" t="str">
        <x:v>YES</x:v>
      </x:c>
      <x:c r="F11" s="38" t="str">
        <x:v>Açılışta ~60 µs düşük seviye glitch; U1TXD IO MUX</x:v>
      </x:c>
      <x:c r="G11" s="38" t="str">
        <x:v>SOURCE_EXPLICIT</x:v>
      </x:c>
      <x:c r="H11" s="38" t="str">
        <x:v>ESP32-S3 DS v2.0 s.17 T2-2; WROOM-1 DS v1.8 (PKG-B 07) s.11</x:v>
      </x:c>
      <x:c r="I11" s="38" t="str">
        <x:v>TX ise OE kapılı</x:v>
      </x:c>
      <x:c r="J11" s="38" t="str">
        <x:v>CLAUDE-11a-WROOM1-N8-Pin-Evidence.csv</x:v>
      </x:c>
      <x:c r="K11" s="38" t="str"/>
      <x:c r="L11" s="38" t="str">
        <x:v>UNALLOCATED_CONSTRAINED</x:v>
      </x:c>
      <x:c r="M11" s="38" t="str">
        <x:v>UNKNOWN</x:v>
      </x:c>
      <x:c r="N11" s="38" t="str">
        <x:v>CF-09</x:v>
      </x:c>
      <x:c r="O11" s="38" t="str">
        <x:v>BLOCKED</x:v>
      </x:c>
      <x:c r="P11" s="38" t="str">
        <x:v>TX için OE gereği; pin ataması yapılmadı</x:v>
      </x:c>
      <x:c r="Q11" s="38" t="str">
        <x:v>G1-JOB01/REP01</x:v>
      </x:c>
      <x:c r="R11" s="38" t="str">
        <x:v>BLOCKED</x:v>
      </x:c>
      <x:c r="S11" s="38" t="str">
        <x:v>G2-H03-PIN-FREEZE</x:v>
      </x:c>
      <x:c r="T11" s="38" t="str">
        <x:v>BLOCKED</x:v>
      </x:c>
      <x:c r="U11" s="38" t="str">
        <x:v>WF01-G1-Karar-Paketi-v1.3; kullanıcı aracılığıyla insan onayı 2026-10-18</x:v>
      </x:c>
      <x:c r="V11" s="38" t="str">
        <x:v>WF01-CF09-Mimari-Karar-Matrisi-v1.1; MIR-EXT-1; MIR-HYB-1; MIR-GLOBAL-1; IND-EXT-1; IND-INT-1; IND-HELP-1</x:v>
      </x:c>
      <x:c r="W11" s="38" t="str">
        <x:v>V-FW-01; V-BOOT-01</x:v>
      </x:c>
      <x:c r="X11" s="38" t="str">
        <x:v>V-REQ-01; V-MAP-01; V-FW-01; Q-C12; Q-C13; Q-C14; Q-C15</x:v>
      </x:c>
    </x:row>
    <x:row r="12" ht="44" customHeight="1">
      <x:c r="A12" s="37" t="str">
        <x:v>11</x:v>
      </x:c>
      <x:c r="B12" s="37" t="str">
        <x:v>IO18</x:v>
      </x:c>
      <x:c r="C12" s="37" t="str">
        <x:v>18</x:v>
      </x:c>
      <x:c r="D12" s="37" t="str">
        <x:v>YES</x:v>
      </x:c>
      <x:c r="E12" s="37" t="str">
        <x:v>YES</x:v>
      </x:c>
      <x:c r="F12" s="38" t="str">
        <x:v>Açılışta düşük ve yüksek seviye glitch; U1RXD IO MUX</x:v>
      </x:c>
      <x:c r="G12" s="38" t="str">
        <x:v>SOURCE_EXPLICIT</x:v>
      </x:c>
      <x:c r="H12" s="38" t="str">
        <x:v>ESP32-S3 DS v2.0 s.18 T2-2</x:v>
      </x:c>
      <x:c r="I12" s="38" t="str">
        <x:v>RX/giriş</x:v>
      </x:c>
      <x:c r="J12" s="38" t="str">
        <x:v>CLAUDE-11a-WROOM1-N8-Pin-Evidence.csv</x:v>
      </x:c>
      <x:c r="K12" s="38" t="str"/>
      <x:c r="L12" s="38" t="str">
        <x:v>UNALLOCATED_CONSTRAINED</x:v>
      </x:c>
      <x:c r="M12" s="38" t="str">
        <x:v>UNKNOWN</x:v>
      </x:c>
      <x:c r="N12" s="38" t="str">
        <x:v>CF-09</x:v>
      </x:c>
      <x:c r="O12" s="38" t="str">
        <x:v>BLOCKED</x:v>
      </x:c>
      <x:c r="P12" s="38" t="str">
        <x:v>Boot glitch kısıtı korunur</x:v>
      </x:c>
      <x:c r="Q12" s="38" t="str">
        <x:v>G1-JOB01/REP01</x:v>
      </x:c>
      <x:c r="R12" s="38" t="str">
        <x:v>BLOCKED</x:v>
      </x:c>
      <x:c r="S12" s="38" t="str">
        <x:v>G2-H03-PIN-FREEZE</x:v>
      </x:c>
      <x:c r="T12" s="38" t="str">
        <x:v>BLOCKED</x:v>
      </x:c>
      <x:c r="U12" s="38" t="str">
        <x:v>WF01-G1-Karar-Paketi-v1.3; kullanıcı aracılığıyla insan onayı 2026-10-18</x:v>
      </x:c>
      <x:c r="V12" s="38" t="str">
        <x:v>WF01-CF09-Mimari-Karar-Matrisi-v1.1; MIR-EXT-1; MIR-HYB-1; MIR-GLOBAL-1; IND-EXT-1; IND-INT-1; IND-HELP-1</x:v>
      </x:c>
      <x:c r="W12" s="38" t="str">
        <x:v>V-FW-01; V-BOOT-01</x:v>
      </x:c>
      <x:c r="X12" s="38" t="str">
        <x:v>V-REQ-01; V-MAP-01; V-FW-01; Q-C12; Q-C13; Q-C14; Q-C15</x:v>
      </x:c>
    </x:row>
    <x:row r="13" ht="44" customHeight="1">
      <x:c r="A13" s="37" t="str">
        <x:v>12</x:v>
      </x:c>
      <x:c r="B13" s="37" t="str">
        <x:v>IO8</x:v>
      </x:c>
      <x:c r="C13" s="37" t="str">
        <x:v>8</x:v>
      </x:c>
      <x:c r="D13" s="37" t="str">
        <x:v>YES</x:v>
      </x:c>
      <x:c r="E13" s="37" t="str">
        <x:v>YES</x:v>
      </x:c>
      <x:c r="F13" s="38" t="str">
        <x:v>Açılışta ~60 µs düşük seviye glitch; ADC1_CH7</x:v>
      </x:c>
      <x:c r="G13" s="38" t="str">
        <x:v>SOURCE_EXPLICIT</x:v>
      </x:c>
      <x:c r="H13" s="38" t="str">
        <x:v>ESP32-S3 DS v2.0 s.17 T2-2</x:v>
      </x:c>
      <x:c r="I13" s="38" t="str">
        <x:v>Giriş/yavaş sinyal</x:v>
      </x:c>
      <x:c r="J13" s="38" t="str">
        <x:v>CLAUDE-11a-WROOM1-N8-Pin-Evidence.csv</x:v>
      </x:c>
      <x:c r="K13" s="38" t="str"/>
      <x:c r="L13" s="38" t="str">
        <x:v>UNALLOCATED_CONSTRAINED</x:v>
      </x:c>
      <x:c r="M13" s="38" t="str">
        <x:v>UNKNOWN</x:v>
      </x:c>
      <x:c r="N13" s="38" t="str">
        <x:v>CF-09</x:v>
      </x:c>
      <x:c r="O13" s="38" t="str">
        <x:v>BLOCKED</x:v>
      </x:c>
      <x:c r="P13" s="38" t="str">
        <x:v>Boot glitch nedeniyle doğrudan TX kararı verilmedi</x:v>
      </x:c>
      <x:c r="Q13" s="38" t="str">
        <x:v>G1-JOB01/REP01</x:v>
      </x:c>
      <x:c r="R13" s="38" t="str">
        <x:v>BLOCKED</x:v>
      </x:c>
      <x:c r="S13" s="38" t="str">
        <x:v>G2-H03-PIN-FREEZE</x:v>
      </x:c>
      <x:c r="T13" s="38" t="str">
        <x:v>BLOCKED</x:v>
      </x:c>
      <x:c r="U13" s="38" t="str">
        <x:v>WF01-G1-Karar-Paketi-v1.3; kullanıcı aracılığıyla insan onayı 2026-10-18</x:v>
      </x:c>
      <x:c r="V13" s="38" t="str">
        <x:v>WF01-CF09-Mimari-Karar-Matrisi-v1.1; MIR-EXT-1; MIR-HYB-1; MIR-GLOBAL-1; IND-EXT-1; IND-INT-1; IND-HELP-1</x:v>
      </x:c>
      <x:c r="W13" s="38" t="str">
        <x:v>V-FW-01; V-BOOT-01</x:v>
      </x:c>
      <x:c r="X13" s="38" t="str">
        <x:v>V-REQ-01; V-MAP-01; V-FW-01; Q-C12; Q-C13; Q-C14; Q-C15</x:v>
      </x:c>
    </x:row>
    <x:row r="14" ht="44" customHeight="1">
      <x:c r="A14" s="37" t="str">
        <x:v>13</x:v>
      </x:c>
      <x:c r="B14" s="37" t="str">
        <x:v>IO19</x:v>
      </x:c>
      <x:c r="C14" s="37" t="str">
        <x:v>19</x:v>
      </x:c>
      <x:c r="D14" s="37" t="str">
        <x:v>YES</x:v>
      </x:c>
      <x:c r="E14" s="37" t="str">
        <x:v>RESERVED</x:v>
      </x:c>
      <x:c r="F14" s="38" t="str">
        <x:v>USB_D−; açılışta iki yüksek seviye glitch</x:v>
      </x:c>
      <x:c r="G14" s="38" t="str">
        <x:v>SOURCE_EXPLICIT</x:v>
      </x:c>
      <x:c r="H14" s="38" t="str">
        <x:v>WROOM-1 DS v1.8 (PKG-B 07) s.11; ESP32-S3 DS v2.0 s.18 T2-2 not 2</x:v>
      </x:c>
      <x:c r="I14" s="38" t="str">
        <x:v>USB-A host</x:v>
      </x:c>
      <x:c r="J14" s="38" t="str">
        <x:v>CLAUDE-11a-WROOM1-N8-Pin-Evidence.csv</x:v>
      </x:c>
      <x:c r="K14" s="38" t="str">
        <x:v>C11-012; C11-013</x:v>
      </x:c>
      <x:c r="L14" s="38" t="str">
        <x:v>RESERVED_USB</x:v>
      </x:c>
      <x:c r="M14" s="38" t="str">
        <x:v>USB_D−</x:v>
      </x:c>
      <x:c r="N14" s="38" t="str">
        <x:v>REQ-003</x:v>
      </x:c>
      <x:c r="O14" s="38" t="str">
        <x:v>PASS</x:v>
      </x:c>
      <x:c r="P14" s="38" t="str">
        <x:v>USB D− için ayrıldı; başka rol atanmaz</x:v>
      </x:c>
      <x:c r="Q14" s="38" t="str">
        <x:v>G1-JOB01/REP01</x:v>
      </x:c>
      <x:c r="R14" s="38" t="str">
        <x:v>PASS</x:v>
      </x:c>
      <x:c r="S14" s="38" t="str">
        <x:v>G2-H04-USB-PHY</x:v>
      </x:c>
      <x:c r="T14" s="38" t="str">
        <x:v>PASS</x:v>
      </x:c>
      <x:c r="U14" s="38" t="str">
        <x:v>WF01-G1-Karar-Paketi-v1.3; kullanıcı aracılığıyla insan onayı 2026-10-18</x:v>
      </x:c>
      <x:c r="V14" s="38" t="str">
        <x:v>NONE — RESERVED_USB</x:v>
      </x:c>
      <x:c r="W14" s="38" t="str">
        <x:v>NONE — OUTSIDE_CF09</x:v>
      </x:c>
      <x:c r="X14" s="38" t="str">
        <x:v>RESERVATION_FIXED; CF09_ALLOCATION_FORBIDDEN</x:v>
      </x:c>
    </x:row>
    <x:row r="15" ht="44" customHeight="1">
      <x:c r="A15" s="37" t="str">
        <x:v>14</x:v>
      </x:c>
      <x:c r="B15" s="37" t="str">
        <x:v>IO20</x:v>
      </x:c>
      <x:c r="C15" s="37" t="str">
        <x:v>20</x:v>
      </x:c>
      <x:c r="D15" s="37" t="str">
        <x:v>YES</x:v>
      </x:c>
      <x:c r="E15" s="37" t="str">
        <x:v>RESERVED</x:v>
      </x:c>
      <x:c r="F15" s="38" t="str">
        <x:v>USB_D+; pull-down ve yüksek seviye glitch</x:v>
      </x:c>
      <x:c r="G15" s="38" t="str">
        <x:v>SOURCE_EXPLICIT</x:v>
      </x:c>
      <x:c r="H15" s="38" t="str">
        <x:v>WROOM-1 DS v1.8 (PKG-B 07) s.11; ESP32-S3 DS v2.0 s.18 T2-2</x:v>
      </x:c>
      <x:c r="I15" s="38" t="str">
        <x:v>USB-A host</x:v>
      </x:c>
      <x:c r="J15" s="38" t="str">
        <x:v>CLAUDE-11a-WROOM1-N8-Pin-Evidence.csv</x:v>
      </x:c>
      <x:c r="K15" s="38" t="str">
        <x:v>C11-012; C11-013</x:v>
      </x:c>
      <x:c r="L15" s="38" t="str">
        <x:v>RESERVED_USB</x:v>
      </x:c>
      <x:c r="M15" s="38" t="str">
        <x:v>USB_D+</x:v>
      </x:c>
      <x:c r="N15" s="38" t="str">
        <x:v>REQ-003</x:v>
      </x:c>
      <x:c r="O15" s="38" t="str">
        <x:v>PASS</x:v>
      </x:c>
      <x:c r="P15" s="38" t="str">
        <x:v>USB D+ için ayrıldı; başka rol atanmaz</x:v>
      </x:c>
      <x:c r="Q15" s="38" t="str">
        <x:v>G1-JOB01/REP01</x:v>
      </x:c>
      <x:c r="R15" s="38" t="str">
        <x:v>PASS</x:v>
      </x:c>
      <x:c r="S15" s="38" t="str">
        <x:v>G2-H04-USB-PHY</x:v>
      </x:c>
      <x:c r="T15" s="38" t="str">
        <x:v>PASS</x:v>
      </x:c>
      <x:c r="U15" s="38" t="str">
        <x:v>WF01-G1-Karar-Paketi-v1.3; kullanıcı aracılığıyla insan onayı 2026-10-18</x:v>
      </x:c>
      <x:c r="V15" s="38" t="str">
        <x:v>NONE — RESERVED_USB</x:v>
      </x:c>
      <x:c r="W15" s="38" t="str">
        <x:v>NONE — OUTSIDE_CF09</x:v>
      </x:c>
      <x:c r="X15" s="38" t="str">
        <x:v>RESERVATION_FIXED; CF09_ALLOCATION_FORBIDDEN</x:v>
      </x:c>
    </x:row>
    <x:row r="16" ht="44" customHeight="1">
      <x:c r="A16" s="37" t="str">
        <x:v>15</x:v>
      </x:c>
      <x:c r="B16" s="37" t="str">
        <x:v>IO3</x:v>
      </x:c>
      <x:c r="C16" s="37" t="str">
        <x:v>3</x:v>
      </x:c>
      <x:c r="D16" s="37" t="str">
        <x:v>YES</x:v>
      </x:c>
      <x:c r="E16" s="37" t="str">
        <x:v>STRAP</x:v>
      </x:c>
      <x:c r="F16" s="38" t="str">
        <x:v>JTAG kaynak strapping; dahili pull yok, yüksek empedans bırakılmaz</x:v>
      </x:c>
      <x:c r="G16" s="38" t="str">
        <x:v>SOURCE_EXPLICIT</x:v>
      </x:c>
      <x:c r="H16" s="38" t="str">
        <x:v>WROOM-1 DS v1.8 (PKG-B 07) s.13 T4-1; s.15 §4.4</x:v>
      </x:c>
      <x:c r="I16" s="38" t="str">
        <x:v>Sabit pull direnci; çıkış önerilmez</x:v>
      </x:c>
      <x:c r="J16" s="38" t="str">
        <x:v>CLAUDE-11a-WROOM1-N8-Pin-Evidence.csv</x:v>
      </x:c>
      <x:c r="K16" s="38" t="str">
        <x:v>C11-006</x:v>
      </x:c>
      <x:c r="L16" s="38" t="str">
        <x:v>RESTRICTED_STRAP</x:v>
      </x:c>
      <x:c r="M16" s="38" t="str">
        <x:v>FIXED_BIAS_REQUIRED</x:v>
      </x:c>
      <x:c r="N16" s="38" t="str">
        <x:v>boot_safety</x:v>
      </x:c>
      <x:c r="O16" s="38" t="str">
        <x:v>PASS</x:v>
      </x:c>
      <x:c r="P16" s="38" t="str">
        <x:v>Yüksek empedans bırakılmaz; çıkış önerilmez</x:v>
      </x:c>
      <x:c r="Q16" s="38" t="str">
        <x:v>G1-JOB01/REP01</x:v>
      </x:c>
      <x:c r="R16" s="38" t="str">
        <x:v>PASS</x:v>
      </x:c>
      <x:c r="S16" s="38" t="str">
        <x:v>G2-H03-BOOT-SAFETY</x:v>
      </x:c>
      <x:c r="T16" s="38" t="str">
        <x:v>PASS</x:v>
      </x:c>
      <x:c r="U16" s="38" t="str">
        <x:v>WF01-G1-Karar-Paketi-v1.3; kullanıcı aracılığıyla insan onayı 2026-10-18</x:v>
      </x:c>
      <x:c r="V16" s="38" t="str">
        <x:v>NONE — BOOT_SAFETY</x:v>
      </x:c>
      <x:c r="W16" s="38" t="str">
        <x:v>V-BOOT-01</x:v>
      </x:c>
      <x:c r="X16" s="38" t="str">
        <x:v>BOOT_SAFETY_RULE_FIXED; OUTPUT_USE_REQUIRES_SEPARATE_G2_DECISION</x:v>
      </x:c>
    </x:row>
    <x:row r="17" ht="44" customHeight="1">
      <x:c r="A17" s="37" t="str">
        <x:v>16</x:v>
      </x:c>
      <x:c r="B17" s="37" t="str">
        <x:v>IO46</x:v>
      </x:c>
      <x:c r="C17" s="37" t="str">
        <x:v>46</x:v>
      </x:c>
      <x:c r="D17" s="37" t="str">
        <x:v>YES</x:v>
      </x:c>
      <x:c r="E17" s="37" t="str">
        <x:v>STRAP</x:v>
      </x:c>
      <x:c r="F17" s="38" t="str">
        <x:v>Boot modu/ROM log strapping; zayıf pull-down</x:v>
      </x:c>
      <x:c r="G17" s="38" t="str">
        <x:v>SOURCE_EXPLICIT</x:v>
      </x:c>
      <x:c r="H17" s="38" t="str">
        <x:v>WROOM-1 DS v1.8 (PKG-B 07) s.13 T4-1; s.14 T4-3</x:v>
      </x:c>
      <x:c r="I17" s="38" t="str">
        <x:v>Boot'ta düşük kalmalı</x:v>
      </x:c>
      <x:c r="J17" s="38" t="str">
        <x:v>CLAUDE-11a-WROOM1-N8-Pin-Evidence.csv</x:v>
      </x:c>
      <x:c r="K17" s="38" t="str"/>
      <x:c r="L17" s="38" t="str">
        <x:v>RESTRICTED_STRAP</x:v>
      </x:c>
      <x:c r="M17" s="38" t="str">
        <x:v>BOOT_STRAP</x:v>
      </x:c>
      <x:c r="N17" s="38" t="str">
        <x:v>boot_safety</x:v>
      </x:c>
      <x:c r="O17" s="38" t="str">
        <x:v>PASS</x:v>
      </x:c>
      <x:c r="P17" s="38" t="str">
        <x:v>Boot'ta düşük kalmalı</x:v>
      </x:c>
      <x:c r="Q17" s="38" t="str">
        <x:v>G1-JOB01/REP01</x:v>
      </x:c>
      <x:c r="R17" s="38" t="str">
        <x:v>PASS</x:v>
      </x:c>
      <x:c r="S17" s="38" t="str">
        <x:v>G2-H03-BOOT-SAFETY</x:v>
      </x:c>
      <x:c r="T17" s="38" t="str">
        <x:v>PASS</x:v>
      </x:c>
      <x:c r="U17" s="38" t="str">
        <x:v>WF01-G1-Karar-Paketi-v1.3; kullanıcı aracılığıyla insan onayı 2026-10-18</x:v>
      </x:c>
      <x:c r="V17" s="38" t="str">
        <x:v>NONE — OUTSIDE_CF09</x:v>
      </x:c>
      <x:c r="W17" s="38" t="str">
        <x:v>NONE — OUTSIDE_CF09</x:v>
      </x:c>
      <x:c r="X17" s="38" t="str">
        <x:v>NONE</x:v>
      </x:c>
    </x:row>
    <x:row r="18" ht="44" customHeight="1">
      <x:c r="A18" s="37" t="str">
        <x:v>17</x:v>
      </x:c>
      <x:c r="B18" s="37" t="str">
        <x:v>IO9</x:v>
      </x:c>
      <x:c r="C18" s="37" t="str">
        <x:v>9</x:v>
      </x:c>
      <x:c r="D18" s="37" t="str">
        <x:v>YES</x:v>
      </x:c>
      <x:c r="E18" s="37" t="str">
        <x:v>YES</x:v>
      </x:c>
      <x:c r="F18" s="38" t="str">
        <x:v>Açılışta ~60 µs düşük seviye glitch; ADC1_CH8</x:v>
      </x:c>
      <x:c r="G18" s="38" t="str">
        <x:v>SOURCE_EXPLICIT</x:v>
      </x:c>
      <x:c r="H18" s="38" t="str">
        <x:v>ESP32-S3 DS v2.0 s.17 T2-2</x:v>
      </x:c>
      <x:c r="I18" s="38" t="str">
        <x:v>Giriş/yavaş sinyal</x:v>
      </x:c>
      <x:c r="J18" s="38" t="str">
        <x:v>CLAUDE-11a-WROOM1-N8-Pin-Evidence.csv</x:v>
      </x:c>
      <x:c r="K18" s="38" t="str"/>
      <x:c r="L18" s="38" t="str">
        <x:v>UNALLOCATED_CONSTRAINED</x:v>
      </x:c>
      <x:c r="M18" s="38" t="str">
        <x:v>UNKNOWN</x:v>
      </x:c>
      <x:c r="N18" s="38" t="str">
        <x:v>CF-09</x:v>
      </x:c>
      <x:c r="O18" s="38" t="str">
        <x:v>BLOCKED</x:v>
      </x:c>
      <x:c r="P18" s="38" t="str">
        <x:v>Boot glitch nedeniyle doğrudan TX kararı verilmedi</x:v>
      </x:c>
      <x:c r="Q18" s="38" t="str">
        <x:v>G1-JOB01/REP01</x:v>
      </x:c>
      <x:c r="R18" s="38" t="str">
        <x:v>BLOCKED</x:v>
      </x:c>
      <x:c r="S18" s="38" t="str">
        <x:v>G2-H03-PIN-FREEZE</x:v>
      </x:c>
      <x:c r="T18" s="38" t="str">
        <x:v>BLOCKED</x:v>
      </x:c>
      <x:c r="U18" s="38" t="str">
        <x:v>WF01-G1-Karar-Paketi-v1.3; kullanıcı aracılığıyla insan onayı 2026-10-18</x:v>
      </x:c>
      <x:c r="V18" s="38" t="str">
        <x:v>WF01-CF09-Mimari-Karar-Matrisi-v1.1; MIR-EXT-1; MIR-HYB-1; MIR-GLOBAL-1; IND-EXT-1; IND-INT-1; IND-HELP-1</x:v>
      </x:c>
      <x:c r="W18" s="38" t="str">
        <x:v>V-FW-01; V-BOOT-01</x:v>
      </x:c>
      <x:c r="X18" s="38" t="str">
        <x:v>V-REQ-01; V-MAP-01; V-FW-01; Q-C12; Q-C13; Q-C14; Q-C15</x:v>
      </x:c>
    </x:row>
    <x:row r="19" ht="44" customHeight="1">
      <x:c r="A19" s="37" t="str">
        <x:v>18</x:v>
      </x:c>
      <x:c r="B19" s="37" t="str">
        <x:v>IO10</x:v>
      </x:c>
      <x:c r="C19" s="37" t="str">
        <x:v>10</x:v>
      </x:c>
      <x:c r="D19" s="37" t="str">
        <x:v>YES</x:v>
      </x:c>
      <x:c r="E19" s="37" t="str">
        <x:v>YES</x:v>
      </x:c>
      <x:c r="F19" s="38" t="str">
        <x:v>Açılışta ~60 µs düşük seviye glitch; ADC1_CH9</x:v>
      </x:c>
      <x:c r="G19" s="38" t="str">
        <x:v>SOURCE_EXPLICIT</x:v>
      </x:c>
      <x:c r="H19" s="38" t="str">
        <x:v>ESP32-S3 DS v2.0 s.17 T2-2</x:v>
      </x:c>
      <x:c r="I19" s="38" t="str">
        <x:v>Giriş/yavaş sinyal</x:v>
      </x:c>
      <x:c r="J19" s="38" t="str">
        <x:v>CLAUDE-11a-WROOM1-N8-Pin-Evidence.csv</x:v>
      </x:c>
      <x:c r="K19" s="38" t="str"/>
      <x:c r="L19" s="38" t="str">
        <x:v>UNALLOCATED_CONSTRAINED</x:v>
      </x:c>
      <x:c r="M19" s="38" t="str">
        <x:v>UNKNOWN</x:v>
      </x:c>
      <x:c r="N19" s="38" t="str">
        <x:v>CF-09</x:v>
      </x:c>
      <x:c r="O19" s="38" t="str">
        <x:v>BLOCKED</x:v>
      </x:c>
      <x:c r="P19" s="38" t="str">
        <x:v>Boot glitch nedeniyle doğrudan TX kararı verilmedi</x:v>
      </x:c>
      <x:c r="Q19" s="38" t="str">
        <x:v>G1-JOB01/REP01</x:v>
      </x:c>
      <x:c r="R19" s="38" t="str">
        <x:v>BLOCKED</x:v>
      </x:c>
      <x:c r="S19" s="38" t="str">
        <x:v>G2-H03-PIN-FREEZE</x:v>
      </x:c>
      <x:c r="T19" s="38" t="str">
        <x:v>BLOCKED</x:v>
      </x:c>
      <x:c r="U19" s="38" t="str">
        <x:v>WF01-G1-Karar-Paketi-v1.3; kullanıcı aracılığıyla insan onayı 2026-10-18</x:v>
      </x:c>
      <x:c r="V19" s="38" t="str">
        <x:v>WF01-CF09-Mimari-Karar-Matrisi-v1.1; MIR-EXT-1; MIR-HYB-1; MIR-GLOBAL-1; IND-EXT-1; IND-INT-1; IND-HELP-1</x:v>
      </x:c>
      <x:c r="W19" s="38" t="str">
        <x:v>V-FW-01; V-BOOT-01</x:v>
      </x:c>
      <x:c r="X19" s="38" t="str">
        <x:v>V-REQ-01; V-MAP-01; V-FW-01; Q-C12; Q-C13; Q-C14; Q-C15</x:v>
      </x:c>
    </x:row>
    <x:row r="20" ht="44" customHeight="1">
      <x:c r="A20" s="37" t="str">
        <x:v>19</x:v>
      </x:c>
      <x:c r="B20" s="37" t="str">
        <x:v>IO11</x:v>
      </x:c>
      <x:c r="C20" s="37" t="str">
        <x:v>11</x:v>
      </x:c>
      <x:c r="D20" s="37" t="str">
        <x:v>YES</x:v>
      </x:c>
      <x:c r="E20" s="37" t="str">
        <x:v>YES</x:v>
      </x:c>
      <x:c r="F20" s="38" t="str">
        <x:v>Açılışta ~60 µs düşük seviye glitch; ADC2</x:v>
      </x:c>
      <x:c r="G20" s="38" t="str">
        <x:v>SOURCE_EXPLICIT</x:v>
      </x:c>
      <x:c r="H20" s="38" t="str">
        <x:v>ESP32-S3 DS v2.0 s.17 T2-2</x:v>
      </x:c>
      <x:c r="I20" s="38" t="str">
        <x:v>Giriş/yavaş sinyal</x:v>
      </x:c>
      <x:c r="J20" s="38" t="str">
        <x:v>CLAUDE-11a-WROOM1-N8-Pin-Evidence.csv</x:v>
      </x:c>
      <x:c r="K20" s="38" t="str"/>
      <x:c r="L20" s="38" t="str">
        <x:v>UNALLOCATED_CONSTRAINED</x:v>
      </x:c>
      <x:c r="M20" s="38" t="str">
        <x:v>UNKNOWN</x:v>
      </x:c>
      <x:c r="N20" s="38" t="str">
        <x:v>CF-09</x:v>
      </x:c>
      <x:c r="O20" s="38" t="str">
        <x:v>BLOCKED</x:v>
      </x:c>
      <x:c r="P20" s="38" t="str">
        <x:v>ADC2/Wi-Fi ve boot glitch kısıtları korunur</x:v>
      </x:c>
      <x:c r="Q20" s="38" t="str">
        <x:v>G1-JOB01/REP01</x:v>
      </x:c>
      <x:c r="R20" s="38" t="str">
        <x:v>BLOCKED</x:v>
      </x:c>
      <x:c r="S20" s="38" t="str">
        <x:v>G2-H03-PIN-FREEZE</x:v>
      </x:c>
      <x:c r="T20" s="38" t="str">
        <x:v>BLOCKED</x:v>
      </x:c>
      <x:c r="U20" s="38" t="str">
        <x:v>WF01-G1-Karar-Paketi-v1.3; kullanıcı aracılığıyla insan onayı 2026-10-18</x:v>
      </x:c>
      <x:c r="V20" s="38" t="str">
        <x:v>WF01-CF09-Mimari-Karar-Matrisi-v1.1; MIR-EXT-1; MIR-HYB-1; MIR-GLOBAL-1; IND-EXT-1; IND-INT-1; IND-HELP-1</x:v>
      </x:c>
      <x:c r="W20" s="38" t="str">
        <x:v>V-FW-01; V-BOOT-01</x:v>
      </x:c>
      <x:c r="X20" s="38" t="str">
        <x:v>V-REQ-01; V-MAP-01; V-FW-01; Q-C12; Q-C13; Q-C14; Q-C15</x:v>
      </x:c>
    </x:row>
    <x:row r="21" ht="44" customHeight="1">
      <x:c r="A21" s="37" t="str">
        <x:v>20</x:v>
      </x:c>
      <x:c r="B21" s="37" t="str">
        <x:v>IO12</x:v>
      </x:c>
      <x:c r="C21" s="37" t="str">
        <x:v>12</x:v>
      </x:c>
      <x:c r="D21" s="37" t="str">
        <x:v>YES</x:v>
      </x:c>
      <x:c r="E21" s="37" t="str">
        <x:v>YES</x:v>
      </x:c>
      <x:c r="F21" s="38" t="str">
        <x:v>Açılışta ~60 µs düşük seviye glitch; ADC2</x:v>
      </x:c>
      <x:c r="G21" s="38" t="str">
        <x:v>SOURCE_EXPLICIT</x:v>
      </x:c>
      <x:c r="H21" s="38" t="str">
        <x:v>ESP32-S3 DS v2.0 s.17 T2-2</x:v>
      </x:c>
      <x:c r="I21" s="38" t="str">
        <x:v>Giriş/yavaş sinyal</x:v>
      </x:c>
      <x:c r="J21" s="38" t="str">
        <x:v>CLAUDE-11a-WROOM1-N8-Pin-Evidence.csv</x:v>
      </x:c>
      <x:c r="K21" s="38" t="str"/>
      <x:c r="L21" s="38" t="str">
        <x:v>UNALLOCATED_CONSTRAINED</x:v>
      </x:c>
      <x:c r="M21" s="38" t="str">
        <x:v>UNKNOWN</x:v>
      </x:c>
      <x:c r="N21" s="38" t="str">
        <x:v>CF-09</x:v>
      </x:c>
      <x:c r="O21" s="38" t="str">
        <x:v>BLOCKED</x:v>
      </x:c>
      <x:c r="P21" s="38" t="str">
        <x:v>ADC2/Wi-Fi ve boot glitch kısıtları korunur</x:v>
      </x:c>
      <x:c r="Q21" s="38" t="str">
        <x:v>G1-JOB01/REP01</x:v>
      </x:c>
      <x:c r="R21" s="38" t="str">
        <x:v>BLOCKED</x:v>
      </x:c>
      <x:c r="S21" s="38" t="str">
        <x:v>G2-H03-PIN-FREEZE</x:v>
      </x:c>
      <x:c r="T21" s="38" t="str">
        <x:v>BLOCKED</x:v>
      </x:c>
      <x:c r="U21" s="38" t="str">
        <x:v>WF01-G1-Karar-Paketi-v1.3; kullanıcı aracılığıyla insan onayı 2026-10-18</x:v>
      </x:c>
      <x:c r="V21" s="38" t="str">
        <x:v>WF01-CF09-Mimari-Karar-Matrisi-v1.1; MIR-EXT-1; MIR-HYB-1; MIR-GLOBAL-1; IND-EXT-1; IND-INT-1; IND-HELP-1</x:v>
      </x:c>
      <x:c r="W21" s="38" t="str">
        <x:v>V-FW-01; V-BOOT-01</x:v>
      </x:c>
      <x:c r="X21" s="38" t="str">
        <x:v>V-REQ-01; V-MAP-01; V-FW-01; Q-C12; Q-C13; Q-C14; Q-C15</x:v>
      </x:c>
    </x:row>
    <x:row r="22" ht="44" customHeight="1">
      <x:c r="A22" s="37" t="str">
        <x:v>21</x:v>
      </x:c>
      <x:c r="B22" s="37" t="str">
        <x:v>IO13</x:v>
      </x:c>
      <x:c r="C22" s="37" t="str">
        <x:v>13</x:v>
      </x:c>
      <x:c r="D22" s="37" t="str">
        <x:v>YES</x:v>
      </x:c>
      <x:c r="E22" s="37" t="str">
        <x:v>YES</x:v>
      </x:c>
      <x:c r="F22" s="38" t="str">
        <x:v>Açılışta ~60 µs düşük seviye glitch; ADC2</x:v>
      </x:c>
      <x:c r="G22" s="38" t="str">
        <x:v>SOURCE_EXPLICIT</x:v>
      </x:c>
      <x:c r="H22" s="38" t="str">
        <x:v>ESP32-S3 DS v2.0 s.17 T2-2</x:v>
      </x:c>
      <x:c r="I22" s="38" t="str">
        <x:v>Giriş/yavaş sinyal</x:v>
      </x:c>
      <x:c r="J22" s="38" t="str">
        <x:v>CLAUDE-11a-WROOM1-N8-Pin-Evidence.csv</x:v>
      </x:c>
      <x:c r="K22" s="38" t="str"/>
      <x:c r="L22" s="38" t="str">
        <x:v>UNALLOCATED_CONSTRAINED</x:v>
      </x:c>
      <x:c r="M22" s="38" t="str">
        <x:v>UNKNOWN</x:v>
      </x:c>
      <x:c r="N22" s="38" t="str">
        <x:v>CF-09</x:v>
      </x:c>
      <x:c r="O22" s="38" t="str">
        <x:v>BLOCKED</x:v>
      </x:c>
      <x:c r="P22" s="38" t="str">
        <x:v>ADC2/Wi-Fi ve boot glitch kısıtları korunur</x:v>
      </x:c>
      <x:c r="Q22" s="38" t="str">
        <x:v>G1-JOB01/REP01</x:v>
      </x:c>
      <x:c r="R22" s="38" t="str">
        <x:v>BLOCKED</x:v>
      </x:c>
      <x:c r="S22" s="38" t="str">
        <x:v>G2-H03-PIN-FREEZE</x:v>
      </x:c>
      <x:c r="T22" s="38" t="str">
        <x:v>BLOCKED</x:v>
      </x:c>
      <x:c r="U22" s="38" t="str">
        <x:v>WF01-G1-Karar-Paketi-v1.3; kullanıcı aracılığıyla insan onayı 2026-10-18</x:v>
      </x:c>
      <x:c r="V22" s="38" t="str">
        <x:v>WF01-CF09-Mimari-Karar-Matrisi-v1.1; MIR-EXT-1; MIR-HYB-1; MIR-GLOBAL-1; IND-EXT-1; IND-INT-1; IND-HELP-1</x:v>
      </x:c>
      <x:c r="W22" s="38" t="str">
        <x:v>V-FW-01; V-BOOT-01</x:v>
      </x:c>
      <x:c r="X22" s="38" t="str">
        <x:v>V-REQ-01; V-MAP-01; V-FW-01; Q-C12; Q-C13; Q-C14; Q-C15</x:v>
      </x:c>
    </x:row>
    <x:row r="23" ht="44" customHeight="1">
      <x:c r="A23" s="37" t="str">
        <x:v>22</x:v>
      </x:c>
      <x:c r="B23" s="37" t="str">
        <x:v>IO14</x:v>
      </x:c>
      <x:c r="C23" s="37" t="str">
        <x:v>14</x:v>
      </x:c>
      <x:c r="D23" s="37" t="str">
        <x:v>YES</x:v>
      </x:c>
      <x:c r="E23" s="37" t="str">
        <x:v>YES</x:v>
      </x:c>
      <x:c r="F23" s="38" t="str">
        <x:v>Açılışta ~60 µs düşük seviye glitch; ADC2</x:v>
      </x:c>
      <x:c r="G23" s="38" t="str">
        <x:v>SOURCE_EXPLICIT</x:v>
      </x:c>
      <x:c r="H23" s="38" t="str">
        <x:v>ESP32-S3 DS v2.0 s.17 T2-2</x:v>
      </x:c>
      <x:c r="I23" s="38" t="str">
        <x:v>Giriş/yavaş sinyal</x:v>
      </x:c>
      <x:c r="J23" s="38" t="str">
        <x:v>CLAUDE-11a-WROOM1-N8-Pin-Evidence.csv</x:v>
      </x:c>
      <x:c r="K23" s="38" t="str"/>
      <x:c r="L23" s="38" t="str">
        <x:v>UNALLOCATED_CONSTRAINED</x:v>
      </x:c>
      <x:c r="M23" s="38" t="str">
        <x:v>UNKNOWN</x:v>
      </x:c>
      <x:c r="N23" s="38" t="str">
        <x:v>CF-09</x:v>
      </x:c>
      <x:c r="O23" s="38" t="str">
        <x:v>BLOCKED</x:v>
      </x:c>
      <x:c r="P23" s="38" t="str">
        <x:v>ADC2/Wi-Fi ve boot glitch kısıtları korunur</x:v>
      </x:c>
      <x:c r="Q23" s="38" t="str">
        <x:v>G1-JOB01/REP01</x:v>
      </x:c>
      <x:c r="R23" s="38" t="str">
        <x:v>BLOCKED</x:v>
      </x:c>
      <x:c r="S23" s="38" t="str">
        <x:v>G2-H03-PIN-FREEZE</x:v>
      </x:c>
      <x:c r="T23" s="38" t="str">
        <x:v>BLOCKED</x:v>
      </x:c>
      <x:c r="U23" s="38" t="str">
        <x:v>WF01-G1-Karar-Paketi-v1.3; kullanıcı aracılığıyla insan onayı 2026-10-18</x:v>
      </x:c>
      <x:c r="V23" s="38" t="str">
        <x:v>WF01-CF09-Mimari-Karar-Matrisi-v1.1; MIR-EXT-1; MIR-HYB-1; MIR-GLOBAL-1; IND-EXT-1; IND-INT-1; IND-HELP-1</x:v>
      </x:c>
      <x:c r="W23" s="38" t="str">
        <x:v>V-FW-01; V-BOOT-01</x:v>
      </x:c>
      <x:c r="X23" s="38" t="str">
        <x:v>V-REQ-01; V-MAP-01; V-FW-01; Q-C12; Q-C13; Q-C14; Q-C15</x:v>
      </x:c>
    </x:row>
    <x:row r="24" ht="44" customHeight="1">
      <x:c r="A24" s="37" t="str">
        <x:v>23</x:v>
      </x:c>
      <x:c r="B24" s="37" t="str">
        <x:v>IO21</x:v>
      </x:c>
      <x:c r="C24" s="37" t="str">
        <x:v>21</x:v>
      </x:c>
      <x:c r="D24" s="37" t="str">
        <x:v>YES</x:v>
      </x:c>
      <x:c r="E24" s="37" t="str">
        <x:v>YES</x:v>
      </x:c>
      <x:c r="F24" s="38" t="str">
        <x:v>Glitch tablosunda yok</x:v>
      </x:c>
      <x:c r="G24" s="38" t="str">
        <x:v>DERIVED</x:v>
      </x:c>
      <x:c r="H24" s="38" t="str">
        <x:v>ESP32-S3 DS v2.0 s.17-18 T2-2 (listede yok)</x:v>
      </x:c>
      <x:c r="I24" s="38" t="str">
        <x:v>TX adayı</x:v>
      </x:c>
      <x:c r="J24" s="38" t="str">
        <x:v>CLAUDE-11a-WROOM1-N8-Pin-Evidence.csv</x:v>
      </x:c>
      <x:c r="K24" s="38" t="str"/>
      <x:c r="L24" s="38" t="str">
        <x:v>UNALLOCATED_TX_CANDIDATE</x:v>
      </x:c>
      <x:c r="M24" s="38" t="str">
        <x:v>UNKNOWN</x:v>
      </x:c>
      <x:c r="N24" s="38" t="str">
        <x:v>CF-09</x:v>
      </x:c>
      <x:c r="O24" s="38" t="str">
        <x:v>BLOCKED</x:v>
      </x:c>
      <x:c r="P24" s="38" t="str">
        <x:v>Adaylık topoloji veya atama kararı değildir</x:v>
      </x:c>
      <x:c r="Q24" s="38" t="str">
        <x:v>G1-JOB01/REP01</x:v>
      </x:c>
      <x:c r="R24" s="38" t="str">
        <x:v>BLOCKED</x:v>
      </x:c>
      <x:c r="S24" s="38" t="str">
        <x:v>G2-H03-PIN-FREEZE</x:v>
      </x:c>
      <x:c r="T24" s="38" t="str">
        <x:v>BLOCKED</x:v>
      </x:c>
      <x:c r="U24" s="38" t="str">
        <x:v>WF01-G1-Karar-Paketi-v1.3; kullanıcı aracılığıyla insan onayı 2026-10-18</x:v>
      </x:c>
      <x:c r="V24" s="38" t="str">
        <x:v>WF01-CF09-Mimari-Karar-Matrisi-v1.1; MIR-EXT-1; MIR-HYB-1; MIR-GLOBAL-1; IND-EXT-1; IND-INT-1; IND-HELP-1</x:v>
      </x:c>
      <x:c r="W24" s="38" t="str">
        <x:v>V-FW-01; V-BOOT-01</x:v>
      </x:c>
      <x:c r="X24" s="38" t="str">
        <x:v>V-REQ-01; V-MAP-01; V-FW-01; Q-C12; Q-C13; Q-C14; Q-C15</x:v>
      </x:c>
    </x:row>
    <x:row r="25" ht="44" customHeight="1">
      <x:c r="A25" s="37" t="str">
        <x:v>24</x:v>
      </x:c>
      <x:c r="B25" s="37" t="str">
        <x:v>IO47</x:v>
      </x:c>
      <x:c r="C25" s="37" t="str">
        <x:v>47</x:v>
      </x:c>
      <x:c r="D25" s="37" t="str">
        <x:v>YES</x:v>
      </x:c>
      <x:c r="E25" s="37" t="str">
        <x:v>YES</x:v>
      </x:c>
      <x:c r="F25" s="38" t="str">
        <x:v>N8'de 3,3 V alanı (1,8 V notu yalnız R16V); glitch tablosunda yok</x:v>
      </x:c>
      <x:c r="G25" s="38" t="str">
        <x:v>DERIVED</x:v>
      </x:c>
      <x:c r="H25" s="38" t="str">
        <x:v>WROOM-1 DS v1.8 (PKG-B 07) s.12 not c; ESP32-S3 DS v2.0 T2-2</x:v>
      </x:c>
      <x:c r="I25" s="38" t="str">
        <x:v>TX adayı</x:v>
      </x:c>
      <x:c r="J25" s="38" t="str">
        <x:v>CLAUDE-11a-WROOM1-N8-Pin-Evidence.csv</x:v>
      </x:c>
      <x:c r="K25" s="38" t="str"/>
      <x:c r="L25" s="38" t="str">
        <x:v>UNALLOCATED_TX_CANDIDATE</x:v>
      </x:c>
      <x:c r="M25" s="38" t="str">
        <x:v>UNKNOWN</x:v>
      </x:c>
      <x:c r="N25" s="38" t="str">
        <x:v>CF-09</x:v>
      </x:c>
      <x:c r="O25" s="38" t="str">
        <x:v>BLOCKED</x:v>
      </x:c>
      <x:c r="P25" s="38" t="str">
        <x:v>Adaylık topoloji veya atama kararı değildir</x:v>
      </x:c>
      <x:c r="Q25" s="38" t="str">
        <x:v>G1-JOB01/REP01</x:v>
      </x:c>
      <x:c r="R25" s="38" t="str">
        <x:v>BLOCKED</x:v>
      </x:c>
      <x:c r="S25" s="38" t="str">
        <x:v>G2-H03-PIN-FREEZE</x:v>
      </x:c>
      <x:c r="T25" s="38" t="str">
        <x:v>BLOCKED</x:v>
      </x:c>
      <x:c r="U25" s="38" t="str">
        <x:v>WF01-G1-Karar-Paketi-v1.3; kullanıcı aracılığıyla insan onayı 2026-10-18</x:v>
      </x:c>
      <x:c r="V25" s="38" t="str">
        <x:v>WF01-CF09-Mimari-Karar-Matrisi-v1.1; MIR-EXT-1; MIR-HYB-1; MIR-GLOBAL-1; IND-EXT-1; IND-INT-1; IND-HELP-1</x:v>
      </x:c>
      <x:c r="W25" s="38" t="str">
        <x:v>V-FW-01; V-BOOT-01</x:v>
      </x:c>
      <x:c r="X25" s="38" t="str">
        <x:v>V-REQ-01; V-MAP-01; V-FW-01; Q-C12; Q-C13; Q-C14; Q-C15</x:v>
      </x:c>
    </x:row>
    <x:row r="26" ht="44" customHeight="1">
      <x:c r="A26" s="37" t="str">
        <x:v>25</x:v>
      </x:c>
      <x:c r="B26" s="37" t="str">
        <x:v>IO48</x:v>
      </x:c>
      <x:c r="C26" s="37" t="str">
        <x:v>48</x:v>
      </x:c>
      <x:c r="D26" s="37" t="str">
        <x:v>YES</x:v>
      </x:c>
      <x:c r="E26" s="37" t="str">
        <x:v>YES</x:v>
      </x:c>
      <x:c r="F26" s="38" t="str">
        <x:v>N8'de 3,3 V alanı; glitch tablosunda yok</x:v>
      </x:c>
      <x:c r="G26" s="38" t="str">
        <x:v>DERIVED</x:v>
      </x:c>
      <x:c r="H26" s="38" t="str">
        <x:v>WROOM-1 DS v1.8 (PKG-B 07) s.12 not c</x:v>
      </x:c>
      <x:c r="I26" s="38" t="str">
        <x:v>TX adayı</x:v>
      </x:c>
      <x:c r="J26" s="38" t="str">
        <x:v>CLAUDE-11a-WROOM1-N8-Pin-Evidence.csv</x:v>
      </x:c>
      <x:c r="K26" s="38" t="str"/>
      <x:c r="L26" s="38" t="str">
        <x:v>UNALLOCATED_TX_CANDIDATE</x:v>
      </x:c>
      <x:c r="M26" s="38" t="str">
        <x:v>UNKNOWN</x:v>
      </x:c>
      <x:c r="N26" s="38" t="str">
        <x:v>CF-09</x:v>
      </x:c>
      <x:c r="O26" s="38" t="str">
        <x:v>BLOCKED</x:v>
      </x:c>
      <x:c r="P26" s="38" t="str">
        <x:v>Adaylık topoloji veya atama kararı değildir</x:v>
      </x:c>
      <x:c r="Q26" s="38" t="str">
        <x:v>G1-JOB01/REP01</x:v>
      </x:c>
      <x:c r="R26" s="38" t="str">
        <x:v>BLOCKED</x:v>
      </x:c>
      <x:c r="S26" s="38" t="str">
        <x:v>G2-H03-PIN-FREEZE</x:v>
      </x:c>
      <x:c r="T26" s="38" t="str">
        <x:v>BLOCKED</x:v>
      </x:c>
      <x:c r="U26" s="38" t="str">
        <x:v>WF01-G1-Karar-Paketi-v1.3; kullanıcı aracılığıyla insan onayı 2026-10-18</x:v>
      </x:c>
      <x:c r="V26" s="38" t="str">
        <x:v>WF01-CF09-Mimari-Karar-Matrisi-v1.1; MIR-EXT-1; MIR-HYB-1; MIR-GLOBAL-1; IND-EXT-1; IND-INT-1; IND-HELP-1</x:v>
      </x:c>
      <x:c r="W26" s="38" t="str">
        <x:v>V-FW-01; V-BOOT-01</x:v>
      </x:c>
      <x:c r="X26" s="38" t="str">
        <x:v>V-REQ-01; V-MAP-01; V-FW-01; Q-C12; Q-C13; Q-C14; Q-C15</x:v>
      </x:c>
    </x:row>
    <x:row r="27" ht="44" customHeight="1">
      <x:c r="A27" s="37" t="str">
        <x:v>26</x:v>
      </x:c>
      <x:c r="B27" s="37" t="str">
        <x:v>IO45</x:v>
      </x:c>
      <x:c r="C27" s="37" t="str">
        <x:v>45</x:v>
      </x:c>
      <x:c r="D27" s="37" t="str">
        <x:v>YES</x:v>
      </x:c>
      <x:c r="E27" s="37" t="str">
        <x:v>STRAP</x:v>
      </x:c>
      <x:c r="F27" s="38" t="str">
        <x:v>VDD_SPI strapping; PSRAM'siz modüllerde (N8) açılışta YÜKSEĞE ÇEKİLMEMELİ</x:v>
      </x:c>
      <x:c r="G27" s="38" t="str">
        <x:v>SOURCE_EXPLICIT</x:v>
      </x:c>
      <x:c r="H27" s="38" t="str">
        <x:v>WROOM-1 DS v1.8 (PKG-B 07) s.39 §8; s.15 T4-4</x:v>
      </x:c>
      <x:c r="I27" s="38" t="str">
        <x:v>Dış pull-up/yüksek sürücü bağlanmaz</x:v>
      </x:c>
      <x:c r="J27" s="38" t="str">
        <x:v>CLAUDE-11a-WROOM1-N8-Pin-Evidence.csv</x:v>
      </x:c>
      <x:c r="K27" s="38" t="str">
        <x:v>C11-005</x:v>
      </x:c>
      <x:c r="L27" s="38" t="str">
        <x:v>RESTRICTED_STRAP</x:v>
      </x:c>
      <x:c r="M27" s="38" t="str">
        <x:v>NO_BOOT_PULLUP_OR_HIGH_DRIVE</x:v>
      </x:c>
      <x:c r="N27" s="38" t="str">
        <x:v>boot_safety</x:v>
      </x:c>
      <x:c r="O27" s="38" t="str">
        <x:v>PASS</x:v>
      </x:c>
      <x:c r="P27" s="38" t="str">
        <x:v>N8 için açılışta yüksek çekilmez</x:v>
      </x:c>
      <x:c r="Q27" s="38" t="str">
        <x:v>G1-JOB01/REP01</x:v>
      </x:c>
      <x:c r="R27" s="38" t="str">
        <x:v>PASS</x:v>
      </x:c>
      <x:c r="S27" s="38" t="str">
        <x:v>G2-H03-BOOT-SAFETY</x:v>
      </x:c>
      <x:c r="T27" s="38" t="str">
        <x:v>PASS</x:v>
      </x:c>
      <x:c r="U27" s="38" t="str">
        <x:v>WF01-G1-Karar-Paketi-v1.3; kullanıcı aracılığıyla insan onayı 2026-10-18</x:v>
      </x:c>
      <x:c r="V27" s="38" t="str">
        <x:v>NONE — BOOT_SAFETY</x:v>
      </x:c>
      <x:c r="W27" s="38" t="str">
        <x:v>V-BOOT-01</x:v>
      </x:c>
      <x:c r="X27" s="38" t="str">
        <x:v>BOOT_SAFETY_RULE_FIXED; OUTPUT_USE_REQUIRES_SEPARATE_G2_DECISION</x:v>
      </x:c>
    </x:row>
    <x:row r="28" ht="44" customHeight="1">
      <x:c r="A28" s="37" t="str">
        <x:v>27</x:v>
      </x:c>
      <x:c r="B28" s="37" t="str">
        <x:v>IO0</x:v>
      </x:c>
      <x:c r="C28" s="37" t="str">
        <x:v>0</x:v>
      </x:c>
      <x:c r="D28" s="37" t="str">
        <x:v>YES</x:v>
      </x:c>
      <x:c r="E28" s="37" t="str">
        <x:v>STRAP</x:v>
      </x:c>
      <x:c r="F28" s="38" t="str">
        <x:v>Boot modu strapping; zayıf pull-up</x:v>
      </x:c>
      <x:c r="G28" s="38" t="str">
        <x:v>SOURCE_EXPLICIT</x:v>
      </x:c>
      <x:c r="H28" s="38" t="str">
        <x:v>WROOM-1 DS v1.8 (PKG-B 07) s.13 T4-1; s.14 T4-3</x:v>
      </x:c>
      <x:c r="I28" s="38" t="str">
        <x:v>Boot butonu</x:v>
      </x:c>
      <x:c r="J28" s="38" t="str">
        <x:v>CLAUDE-11a-WROOM1-N8-Pin-Evidence.csv</x:v>
      </x:c>
      <x:c r="K28" s="38" t="str"/>
      <x:c r="L28" s="38" t="str">
        <x:v>RESTRICTED_STRAP</x:v>
      </x:c>
      <x:c r="M28" s="38" t="str">
        <x:v>BOOT_BUTTON</x:v>
      </x:c>
      <x:c r="N28" s="38" t="str">
        <x:v>boot_safety</x:v>
      </x:c>
      <x:c r="O28" s="38" t="str">
        <x:v>PASS</x:v>
      </x:c>
      <x:c r="P28" s="38" t="str">
        <x:v>Boot modu etkisi korunur</x:v>
      </x:c>
      <x:c r="Q28" s="38" t="str">
        <x:v>G1-JOB01/REP01</x:v>
      </x:c>
      <x:c r="R28" s="38" t="str">
        <x:v>PASS</x:v>
      </x:c>
      <x:c r="S28" s="38" t="str">
        <x:v>G2-H03-BOOT-SAFETY</x:v>
      </x:c>
      <x:c r="T28" s="38" t="str">
        <x:v>PASS</x:v>
      </x:c>
      <x:c r="U28" s="38" t="str">
        <x:v>WF01-G1-Karar-Paketi-v1.3; kullanıcı aracılığıyla insan onayı 2026-10-18</x:v>
      </x:c>
      <x:c r="V28" s="38" t="str">
        <x:v>NONE — OUTSIDE_CF09</x:v>
      </x:c>
      <x:c r="W28" s="38" t="str">
        <x:v>NONE — OUTSIDE_CF09</x:v>
      </x:c>
      <x:c r="X28" s="38" t="str">
        <x:v>NONE</x:v>
      </x:c>
    </x:row>
    <x:row r="29" ht="44" customHeight="1">
      <x:c r="A29" s="37" t="str">
        <x:v>28</x:v>
      </x:c>
      <x:c r="B29" s="37" t="str">
        <x:v>IO35</x:v>
      </x:c>
      <x:c r="C29" s="37" t="str">
        <x:v>35</x:v>
      </x:c>
      <x:c r="D29" s="37" t="str">
        <x:v>YES</x:v>
      </x:c>
      <x:c r="E29" s="37" t="str">
        <x:v>YES (N8)</x:v>
      </x:c>
      <x:c r="F29" s="38" t="str">
        <x:v>Kullanım kısıtı yalnız octal PSRAM modüllerinde; pin 28–30 varsayılan fonksiyonu eFuse ile belirlenir; glitch tablosunda yok</x:v>
      </x:c>
      <x:c r="G29" s="38" t="str">
        <x:v>DERIVED</x:v>
      </x:c>
      <x:c r="H29" s="38" t="str">
        <x:v>WROOM-1 DS v1.8 (PKG-B 07) s.12 not a, b</x:v>
      </x:c>
      <x:c r="I29" s="38" t="str">
        <x:v>TX adayı — eFuse varsayılanı doğrulanmalı</x:v>
      </x:c>
      <x:c r="J29" s="38" t="str">
        <x:v>CLAUDE-11a-WROOM1-N8-Pin-Evidence.csv</x:v>
      </x:c>
      <x:c r="K29" s="38" t="str">
        <x:v>C11-003; C11-004</x:v>
      </x:c>
      <x:c r="L29" s="38" t="str">
        <x:v>CONDITIONAL_EFUSE_CHECK</x:v>
      </x:c>
      <x:c r="M29" s="38" t="str">
        <x:v>UNKNOWN</x:v>
      </x:c>
      <x:c r="N29" s="38" t="str">
        <x:v>C11-004; CF-09</x:v>
      </x:c>
      <x:c r="O29" s="38" t="str">
        <x:v>BLOCKED</x:v>
      </x:c>
      <x:c r="P29" s="38" t="str">
        <x:v>N8'de erişilebilir; varsayılan işlev doğrulanmadan atanmaz</x:v>
      </x:c>
      <x:c r="Q29" s="38" t="str">
        <x:v>G1-JOB01/REP01</x:v>
      </x:c>
      <x:c r="R29" s="38" t="str">
        <x:v>BLOCKED</x:v>
      </x:c>
      <x:c r="S29" s="38" t="str">
        <x:v>G2-H03-PIN-FREEZE</x:v>
      </x:c>
      <x:c r="T29" s="38" t="str">
        <x:v>BLOCKED</x:v>
      </x:c>
      <x:c r="U29" s="38" t="str">
        <x:v>WF01-G1-Karar-Paketi-v1.3; kullanıcı aracılığıyla insan onayı 2026-10-18</x:v>
      </x:c>
      <x:c r="V29" s="38" t="str">
        <x:v>WF01-CF09-Mimari-Karar-Matrisi-v1.1; MIR-EXT-1; MIR-HYB-1; MIR-GLOBAL-1; IND-EXT-1; IND-INT-1; IND-HELP-1</x:v>
      </x:c>
      <x:c r="W29" s="38" t="str">
        <x:v>V-FW-01; V-BOOT-01</x:v>
      </x:c>
      <x:c r="X29" s="38" t="str">
        <x:v>V-REQ-01; V-MAP-01; V-FW-01; Q-C12; Q-C13; Q-C14; Q-C15</x:v>
      </x:c>
    </x:row>
    <x:row r="30" ht="44" customHeight="1">
      <x:c r="A30" s="37" t="str">
        <x:v>29</x:v>
      </x:c>
      <x:c r="B30" s="37" t="str">
        <x:v>IO36</x:v>
      </x:c>
      <x:c r="C30" s="37" t="str">
        <x:v>36</x:v>
      </x:c>
      <x:c r="D30" s="37" t="str">
        <x:v>YES</x:v>
      </x:c>
      <x:c r="E30" s="37" t="str">
        <x:v>YES (N8)</x:v>
      </x:c>
      <x:c r="F30" s="38" t="str">
        <x:v>Aynı (pin 28–30 notu)</x:v>
      </x:c>
      <x:c r="G30" s="38" t="str">
        <x:v>DERIVED</x:v>
      </x:c>
      <x:c r="H30" s="38" t="str">
        <x:v>WROOM-1 DS v1.8 (PKG-B 07) s.12 not a, b</x:v>
      </x:c>
      <x:c r="I30" s="38" t="str">
        <x:v>TX adayı — doğrulanmalı</x:v>
      </x:c>
      <x:c r="J30" s="38" t="str">
        <x:v>CLAUDE-11a-WROOM1-N8-Pin-Evidence.csv</x:v>
      </x:c>
      <x:c r="K30" s="38" t="str">
        <x:v>C11-003; C11-004</x:v>
      </x:c>
      <x:c r="L30" s="38" t="str">
        <x:v>CONDITIONAL_EFUSE_CHECK</x:v>
      </x:c>
      <x:c r="M30" s="38" t="str">
        <x:v>UNKNOWN</x:v>
      </x:c>
      <x:c r="N30" s="38" t="str">
        <x:v>C11-004; CF-09</x:v>
      </x:c>
      <x:c r="O30" s="38" t="str">
        <x:v>BLOCKED</x:v>
      </x:c>
      <x:c r="P30" s="38" t="str">
        <x:v>N8'de erişilebilir; varsayılan işlev doğrulanmadan atanmaz</x:v>
      </x:c>
      <x:c r="Q30" s="38" t="str">
        <x:v>G1-JOB01/REP01</x:v>
      </x:c>
      <x:c r="R30" s="38" t="str">
        <x:v>BLOCKED</x:v>
      </x:c>
      <x:c r="S30" s="38" t="str">
        <x:v>G2-H03-PIN-FREEZE</x:v>
      </x:c>
      <x:c r="T30" s="38" t="str">
        <x:v>BLOCKED</x:v>
      </x:c>
      <x:c r="U30" s="38" t="str">
        <x:v>WF01-G1-Karar-Paketi-v1.3; kullanıcı aracılığıyla insan onayı 2026-10-18</x:v>
      </x:c>
      <x:c r="V30" s="38" t="str">
        <x:v>WF01-CF09-Mimari-Karar-Matrisi-v1.1; MIR-EXT-1; MIR-HYB-1; MIR-GLOBAL-1; IND-EXT-1; IND-INT-1; IND-HELP-1</x:v>
      </x:c>
      <x:c r="W30" s="38" t="str">
        <x:v>V-FW-01; V-BOOT-01</x:v>
      </x:c>
      <x:c r="X30" s="38" t="str">
        <x:v>V-REQ-01; V-MAP-01; V-FW-01; Q-C12; Q-C13; Q-C14; Q-C15</x:v>
      </x:c>
    </x:row>
    <x:row r="31" ht="44" customHeight="1">
      <x:c r="A31" s="37" t="str">
        <x:v>30</x:v>
      </x:c>
      <x:c r="B31" s="37" t="str">
        <x:v>IO37</x:v>
      </x:c>
      <x:c r="C31" s="37" t="str">
        <x:v>37</x:v>
      </x:c>
      <x:c r="D31" s="37" t="str">
        <x:v>YES</x:v>
      </x:c>
      <x:c r="E31" s="37" t="str">
        <x:v>YES (N8)</x:v>
      </x:c>
      <x:c r="F31" s="38" t="str">
        <x:v>Aynı (pin 28–30 notu)</x:v>
      </x:c>
      <x:c r="G31" s="38" t="str">
        <x:v>DERIVED</x:v>
      </x:c>
      <x:c r="H31" s="38" t="str">
        <x:v>WROOM-1 DS v1.8 (PKG-B 07) s.12 not a, b</x:v>
      </x:c>
      <x:c r="I31" s="38" t="str">
        <x:v>TX adayı — doğrulanmalı</x:v>
      </x:c>
      <x:c r="J31" s="38" t="str">
        <x:v>CLAUDE-11a-WROOM1-N8-Pin-Evidence.csv</x:v>
      </x:c>
      <x:c r="K31" s="38" t="str">
        <x:v>C11-003; C11-004</x:v>
      </x:c>
      <x:c r="L31" s="38" t="str">
        <x:v>CONDITIONAL_EFUSE_CHECK</x:v>
      </x:c>
      <x:c r="M31" s="38" t="str">
        <x:v>UNKNOWN</x:v>
      </x:c>
      <x:c r="N31" s="38" t="str">
        <x:v>C11-004; CF-09</x:v>
      </x:c>
      <x:c r="O31" s="38" t="str">
        <x:v>BLOCKED</x:v>
      </x:c>
      <x:c r="P31" s="38" t="str">
        <x:v>N8'de erişilebilir; varsayılan işlev doğrulanmadan atanmaz</x:v>
      </x:c>
      <x:c r="Q31" s="38" t="str">
        <x:v>G1-JOB01/REP01</x:v>
      </x:c>
      <x:c r="R31" s="38" t="str">
        <x:v>BLOCKED</x:v>
      </x:c>
      <x:c r="S31" s="38" t="str">
        <x:v>G2-H03-PIN-FREEZE</x:v>
      </x:c>
      <x:c r="T31" s="38" t="str">
        <x:v>BLOCKED</x:v>
      </x:c>
      <x:c r="U31" s="38" t="str">
        <x:v>WF01-G1-Karar-Paketi-v1.3; kullanıcı aracılığıyla insan onayı 2026-10-18</x:v>
      </x:c>
      <x:c r="V31" s="38" t="str">
        <x:v>WF01-CF09-Mimari-Karar-Matrisi-v1.1; MIR-EXT-1; MIR-HYB-1; MIR-GLOBAL-1; IND-EXT-1; IND-INT-1; IND-HELP-1</x:v>
      </x:c>
      <x:c r="W31" s="38" t="str">
        <x:v>V-FW-01; V-BOOT-01</x:v>
      </x:c>
      <x:c r="X31" s="38" t="str">
        <x:v>V-REQ-01; V-MAP-01; V-FW-01; Q-C12; Q-C13; Q-C14; Q-C15</x:v>
      </x:c>
    </x:row>
    <x:row r="32" ht="44" customHeight="1">
      <x:c r="A32" s="37" t="str">
        <x:v>31</x:v>
      </x:c>
      <x:c r="B32" s="37" t="str">
        <x:v>IO38</x:v>
      </x:c>
      <x:c r="C32" s="37" t="str">
        <x:v>38</x:v>
      </x:c>
      <x:c r="D32" s="37" t="str">
        <x:v>YES</x:v>
      </x:c>
      <x:c r="E32" s="37" t="str">
        <x:v>YES</x:v>
      </x:c>
      <x:c r="F32" s="38" t="str">
        <x:v>Glitch tablosunda yok</x:v>
      </x:c>
      <x:c r="G32" s="38" t="str">
        <x:v>DERIVED</x:v>
      </x:c>
      <x:c r="H32" s="38" t="str">
        <x:v>ESP32-S3 DS v2.0 T2-2</x:v>
      </x:c>
      <x:c r="I32" s="38" t="str">
        <x:v>TX adayı</x:v>
      </x:c>
      <x:c r="J32" s="38" t="str">
        <x:v>CLAUDE-11a-WROOM1-N8-Pin-Evidence.csv</x:v>
      </x:c>
      <x:c r="K32" s="38" t="str"/>
      <x:c r="L32" s="38" t="str">
        <x:v>UNALLOCATED_TX_CANDIDATE</x:v>
      </x:c>
      <x:c r="M32" s="38" t="str">
        <x:v>UNKNOWN</x:v>
      </x:c>
      <x:c r="N32" s="38" t="str">
        <x:v>CF-09</x:v>
      </x:c>
      <x:c r="O32" s="38" t="str">
        <x:v>BLOCKED</x:v>
      </x:c>
      <x:c r="P32" s="38" t="str">
        <x:v>Adaylık topoloji veya atama kararı değildir</x:v>
      </x:c>
      <x:c r="Q32" s="38" t="str">
        <x:v>G1-JOB01/REP01</x:v>
      </x:c>
      <x:c r="R32" s="38" t="str">
        <x:v>BLOCKED</x:v>
      </x:c>
      <x:c r="S32" s="38" t="str">
        <x:v>G2-H03-PIN-FREEZE</x:v>
      </x:c>
      <x:c r="T32" s="38" t="str">
        <x:v>BLOCKED</x:v>
      </x:c>
      <x:c r="U32" s="38" t="str">
        <x:v>WF01-G1-Karar-Paketi-v1.3; kullanıcı aracılığıyla insan onayı 2026-10-18</x:v>
      </x:c>
      <x:c r="V32" s="38" t="str">
        <x:v>WF01-CF09-Mimari-Karar-Matrisi-v1.1; MIR-EXT-1; MIR-HYB-1; MIR-GLOBAL-1; IND-EXT-1; IND-INT-1; IND-HELP-1</x:v>
      </x:c>
      <x:c r="W32" s="38" t="str">
        <x:v>V-FW-01; V-BOOT-01</x:v>
      </x:c>
      <x:c r="X32" s="38" t="str">
        <x:v>V-REQ-01; V-MAP-01; V-FW-01; Q-C12; Q-C13; Q-C14; Q-C15</x:v>
      </x:c>
    </x:row>
    <x:row r="33" ht="44" customHeight="1">
      <x:c r="A33" s="37" t="str">
        <x:v>32</x:v>
      </x:c>
      <x:c r="B33" s="37" t="str">
        <x:v>IO39</x:v>
      </x:c>
      <x:c r="C33" s="37" t="str">
        <x:v>39</x:v>
      </x:c>
      <x:c r="D33" s="37" t="str">
        <x:v>YES</x:v>
      </x:c>
      <x:c r="E33" s="37" t="str">
        <x:v>COND</x:v>
      </x:c>
      <x:c r="F33" s="38" t="str">
        <x:v>MTCK (pad JTAG); USB-JTAG kullanılamıyorsa debug için gerekebilir</x:v>
      </x:c>
      <x:c r="G33" s="38" t="str">
        <x:v>SOURCE_EXPLICIT</x:v>
      </x:c>
      <x:c r="H33" s="38" t="str">
        <x:v>WROOM-1 DS v1.8 (PKG-B 07) s.12; s.16 T4-5</x:v>
      </x:c>
      <x:c r="I33" s="38" t="str">
        <x:v>JTAG veya TX</x:v>
      </x:c>
      <x:c r="J33" s="38" t="str">
        <x:v>CLAUDE-11a-WROOM1-N8-Pin-Evidence.csv</x:v>
      </x:c>
      <x:c r="K33" s="38" t="str">
        <x:v>C11-014</x:v>
      </x:c>
      <x:c r="L33" s="38" t="str">
        <x:v>CONDITIONAL_JTAG</x:v>
      </x:c>
      <x:c r="M33" s="38" t="str">
        <x:v>JTAG_OR_TX</x:v>
      </x:c>
      <x:c r="N33" s="38" t="str">
        <x:v>D-JTAG; CF-09</x:v>
      </x:c>
      <x:c r="O33" s="38" t="str">
        <x:v>BLOCKED</x:v>
      </x:c>
      <x:c r="P33" s="38" t="str">
        <x:v>Pad JTAG kararı verilmeden atanmaz</x:v>
      </x:c>
      <x:c r="Q33" s="38" t="str">
        <x:v>G1-JOB01/REP01</x:v>
      </x:c>
      <x:c r="R33" s="38" t="str">
        <x:v>BLOCKED</x:v>
      </x:c>
      <x:c r="S33" s="38" t="str">
        <x:v>G2-H03-PIN-FREEZE; G2-H04-D-JTAG</x:v>
      </x:c>
      <x:c r="T33" s="38" t="str">
        <x:v>BLOCKED</x:v>
      </x:c>
      <x:c r="U33" s="38" t="str">
        <x:v>WF01-G1-Karar-Paketi-v1.3; kullanıcı aracılığıyla insan onayı 2026-10-18</x:v>
      </x:c>
      <x:c r="V33" s="38" t="str">
        <x:v>WF01-CF09-Mimari-Karar-Matrisi-v1.1; C-UART-01; C-RMT-01; D-JTAG</x:v>
      </x:c>
      <x:c r="W33" s="38" t="str">
        <x:v>V-FW-01; V-BOOT-01</x:v>
      </x:c>
      <x:c r="X33" s="38" t="str">
        <x:v>V-REQ-01; V-MAP-01; V-FW-01; D-JTAG; Q-C12; Q-C13; Q-C14; Q-C15</x:v>
      </x:c>
    </x:row>
    <x:row r="34" ht="44" customHeight="1">
      <x:c r="A34" s="37" t="str">
        <x:v>33</x:v>
      </x:c>
      <x:c r="B34" s="37" t="str">
        <x:v>IO40</x:v>
      </x:c>
      <x:c r="C34" s="37" t="str">
        <x:v>40</x:v>
      </x:c>
      <x:c r="D34" s="37" t="str">
        <x:v>YES</x:v>
      </x:c>
      <x:c r="E34" s="37" t="str">
        <x:v>COND</x:v>
      </x:c>
      <x:c r="F34" s="38" t="str">
        <x:v>MTDO</x:v>
      </x:c>
      <x:c r="G34" s="38" t="str">
        <x:v>SOURCE_EXPLICIT</x:v>
      </x:c>
      <x:c r="H34" s="38" t="str">
        <x:v>WROOM-1 DS v1.8 (PKG-B 07) s.12</x:v>
      </x:c>
      <x:c r="I34" s="38" t="str">
        <x:v>JTAG veya TX</x:v>
      </x:c>
      <x:c r="J34" s="38" t="str">
        <x:v>CLAUDE-11a-WROOM1-N8-Pin-Evidence.csv</x:v>
      </x:c>
      <x:c r="K34" s="38" t="str">
        <x:v>C11-014</x:v>
      </x:c>
      <x:c r="L34" s="38" t="str">
        <x:v>CONDITIONAL_JTAG</x:v>
      </x:c>
      <x:c r="M34" s="38" t="str">
        <x:v>JTAG_OR_TX</x:v>
      </x:c>
      <x:c r="N34" s="38" t="str">
        <x:v>D-JTAG; CF-09</x:v>
      </x:c>
      <x:c r="O34" s="38" t="str">
        <x:v>BLOCKED</x:v>
      </x:c>
      <x:c r="P34" s="38" t="str">
        <x:v>Pad JTAG kararı verilmeden atanmaz</x:v>
      </x:c>
      <x:c r="Q34" s="38" t="str">
        <x:v>G1-JOB01/REP01</x:v>
      </x:c>
      <x:c r="R34" s="38" t="str">
        <x:v>BLOCKED</x:v>
      </x:c>
      <x:c r="S34" s="38" t="str">
        <x:v>G2-H03-PIN-FREEZE; G2-H04-D-JTAG</x:v>
      </x:c>
      <x:c r="T34" s="38" t="str">
        <x:v>BLOCKED</x:v>
      </x:c>
      <x:c r="U34" s="38" t="str">
        <x:v>WF01-G1-Karar-Paketi-v1.3; kullanıcı aracılığıyla insan onayı 2026-10-18</x:v>
      </x:c>
      <x:c r="V34" s="38" t="str">
        <x:v>WF01-CF09-Mimari-Karar-Matrisi-v1.1; C-UART-01; C-RMT-01; D-JTAG</x:v>
      </x:c>
      <x:c r="W34" s="38" t="str">
        <x:v>V-FW-01; V-BOOT-01</x:v>
      </x:c>
      <x:c r="X34" s="38" t="str">
        <x:v>V-REQ-01; V-MAP-01; V-FW-01; D-JTAG; Q-C12; Q-C13; Q-C14; Q-C15</x:v>
      </x:c>
    </x:row>
    <x:row r="35" ht="44" customHeight="1">
      <x:c r="A35" s="37" t="str">
        <x:v>34</x:v>
      </x:c>
      <x:c r="B35" s="37" t="str">
        <x:v>IO41</x:v>
      </x:c>
      <x:c r="C35" s="37" t="str">
        <x:v>41</x:v>
      </x:c>
      <x:c r="D35" s="37" t="str">
        <x:v>YES</x:v>
      </x:c>
      <x:c r="E35" s="37" t="str">
        <x:v>COND</x:v>
      </x:c>
      <x:c r="F35" s="38" t="str">
        <x:v>MTDI</x:v>
      </x:c>
      <x:c r="G35" s="38" t="str">
        <x:v>SOURCE_EXPLICIT</x:v>
      </x:c>
      <x:c r="H35" s="38" t="str">
        <x:v>WROOM-1 DS v1.8 (PKG-B 07) s.12</x:v>
      </x:c>
      <x:c r="I35" s="38" t="str">
        <x:v>JTAG veya TX</x:v>
      </x:c>
      <x:c r="J35" s="38" t="str">
        <x:v>CLAUDE-11a-WROOM1-N8-Pin-Evidence.csv</x:v>
      </x:c>
      <x:c r="K35" s="38" t="str">
        <x:v>C11-014</x:v>
      </x:c>
      <x:c r="L35" s="38" t="str">
        <x:v>CONDITIONAL_JTAG</x:v>
      </x:c>
      <x:c r="M35" s="38" t="str">
        <x:v>JTAG_OR_TX</x:v>
      </x:c>
      <x:c r="N35" s="38" t="str">
        <x:v>D-JTAG; CF-09</x:v>
      </x:c>
      <x:c r="O35" s="38" t="str">
        <x:v>BLOCKED</x:v>
      </x:c>
      <x:c r="P35" s="38" t="str">
        <x:v>Pad JTAG kararı verilmeden atanmaz</x:v>
      </x:c>
      <x:c r="Q35" s="38" t="str">
        <x:v>G1-JOB01/REP01</x:v>
      </x:c>
      <x:c r="R35" s="38" t="str">
        <x:v>BLOCKED</x:v>
      </x:c>
      <x:c r="S35" s="38" t="str">
        <x:v>G2-H03-PIN-FREEZE; G2-H04-D-JTAG</x:v>
      </x:c>
      <x:c r="T35" s="38" t="str">
        <x:v>BLOCKED</x:v>
      </x:c>
      <x:c r="U35" s="38" t="str">
        <x:v>WF01-G1-Karar-Paketi-v1.3; kullanıcı aracılığıyla insan onayı 2026-10-18</x:v>
      </x:c>
      <x:c r="V35" s="38" t="str">
        <x:v>WF01-CF09-Mimari-Karar-Matrisi-v1.1; C-UART-01; C-RMT-01; D-JTAG</x:v>
      </x:c>
      <x:c r="W35" s="38" t="str">
        <x:v>V-FW-01; V-BOOT-01</x:v>
      </x:c>
      <x:c r="X35" s="38" t="str">
        <x:v>V-REQ-01; V-MAP-01; V-FW-01; D-JTAG; Q-C12; Q-C13; Q-C14; Q-C15</x:v>
      </x:c>
    </x:row>
    <x:row r="36" ht="44" customHeight="1">
      <x:c r="A36" s="37" t="str">
        <x:v>35</x:v>
      </x:c>
      <x:c r="B36" s="37" t="str">
        <x:v>IO42</x:v>
      </x:c>
      <x:c r="C36" s="37" t="str">
        <x:v>42</x:v>
      </x:c>
      <x:c r="D36" s="37" t="str">
        <x:v>YES</x:v>
      </x:c>
      <x:c r="E36" s="37" t="str">
        <x:v>COND</x:v>
      </x:c>
      <x:c r="F36" s="38" t="str">
        <x:v>MTMS</x:v>
      </x:c>
      <x:c r="G36" s="38" t="str">
        <x:v>SOURCE_EXPLICIT</x:v>
      </x:c>
      <x:c r="H36" s="38" t="str">
        <x:v>WROOM-1 DS v1.8 (PKG-B 07) s.12</x:v>
      </x:c>
      <x:c r="I36" s="38" t="str">
        <x:v>JTAG veya TX</x:v>
      </x:c>
      <x:c r="J36" s="38" t="str">
        <x:v>CLAUDE-11a-WROOM1-N8-Pin-Evidence.csv</x:v>
      </x:c>
      <x:c r="K36" s="38" t="str">
        <x:v>C11-014</x:v>
      </x:c>
      <x:c r="L36" s="38" t="str">
        <x:v>CONDITIONAL_JTAG</x:v>
      </x:c>
      <x:c r="M36" s="38" t="str">
        <x:v>JTAG_OR_TX</x:v>
      </x:c>
      <x:c r="N36" s="38" t="str">
        <x:v>D-JTAG; CF-09</x:v>
      </x:c>
      <x:c r="O36" s="38" t="str">
        <x:v>BLOCKED</x:v>
      </x:c>
      <x:c r="P36" s="38" t="str">
        <x:v>Pad JTAG kararı verilmeden atanmaz</x:v>
      </x:c>
      <x:c r="Q36" s="38" t="str">
        <x:v>G1-JOB01/REP01</x:v>
      </x:c>
      <x:c r="R36" s="38" t="str">
        <x:v>BLOCKED</x:v>
      </x:c>
      <x:c r="S36" s="38" t="str">
        <x:v>G2-H03-PIN-FREEZE; G2-H04-D-JTAG</x:v>
      </x:c>
      <x:c r="T36" s="38" t="str">
        <x:v>BLOCKED</x:v>
      </x:c>
      <x:c r="U36" s="38" t="str">
        <x:v>WF01-G1-Karar-Paketi-v1.3; kullanıcı aracılığıyla insan onayı 2026-10-18</x:v>
      </x:c>
      <x:c r="V36" s="38" t="str">
        <x:v>WF01-CF09-Mimari-Karar-Matrisi-v1.1; C-UART-01; C-RMT-01; D-JTAG</x:v>
      </x:c>
      <x:c r="W36" s="38" t="str">
        <x:v>V-FW-01; V-BOOT-01</x:v>
      </x:c>
      <x:c r="X36" s="38" t="str">
        <x:v>V-REQ-01; V-MAP-01; V-FW-01; D-JTAG; Q-C12; Q-C13; Q-C14; Q-C15</x:v>
      </x:c>
    </x:row>
    <x:row r="37" ht="44" customHeight="1">
      <x:c r="A37" s="37" t="str">
        <x:v>36</x:v>
      </x:c>
      <x:c r="B37" s="37" t="str">
        <x:v>RXD0</x:v>
      </x:c>
      <x:c r="C37" s="37" t="str">
        <x:v>44</x:v>
      </x:c>
      <x:c r="D37" s="37" t="str">
        <x:v>YES</x:v>
      </x:c>
      <x:c r="E37" s="37" t="str">
        <x:v>RESERVED</x:v>
      </x:c>
      <x:c r="F37" s="38" t="str">
        <x:v>U0RXD — programlama/log</x:v>
      </x:c>
      <x:c r="G37" s="38" t="str">
        <x:v>SOURCE_EXPLICIT</x:v>
      </x:c>
      <x:c r="H37" s="38" t="str">
        <x:v>WROOM-1 DS v1.8 (PKG-B 07) s.12; s.15 §4.1</x:v>
      </x:c>
      <x:c r="I37" s="38" t="str">
        <x:v>UART0 debug</x:v>
      </x:c>
      <x:c r="J37" s="38" t="str">
        <x:v>CLAUDE-11a-WROOM1-N8-Pin-Evidence.csv</x:v>
      </x:c>
      <x:c r="K37" s="38" t="str">
        <x:v>C11-014</x:v>
      </x:c>
      <x:c r="L37" s="38" t="str">
        <x:v>RESERVED_UART0</x:v>
      </x:c>
      <x:c r="M37" s="38" t="str">
        <x:v>UART0_RX</x:v>
      </x:c>
      <x:c r="N37" s="38" t="str">
        <x:v>REQ-003-I2</x:v>
      </x:c>
      <x:c r="O37" s="38" t="str">
        <x:v>PASS</x:v>
      </x:c>
      <x:c r="P37" s="38" t="str">
        <x:v>Programlama/log için ayrıldı</x:v>
      </x:c>
      <x:c r="Q37" s="38" t="str">
        <x:v>G1-JOB01/REP01</x:v>
      </x:c>
      <x:c r="R37" s="38" t="str">
        <x:v>PASS</x:v>
      </x:c>
      <x:c r="S37" s="38" t="str">
        <x:v>G2-H04-RECOVERY</x:v>
      </x:c>
      <x:c r="T37" s="38" t="str">
        <x:v>PASS</x:v>
      </x:c>
      <x:c r="U37" s="38" t="str">
        <x:v>WF01-G1-Karar-Paketi-v1.3; kullanıcı aracılığıyla insan onayı 2026-10-18</x:v>
      </x:c>
      <x:c r="V37" s="38" t="str">
        <x:v>WF01-CF09-Mimari-Karar-Matrisi-v1.1; C-UART-01; Kapasite Senaryolari</x:v>
      </x:c>
      <x:c r="W37" s="38" t="str">
        <x:v>V-FW-01; V-BOOT-01</x:v>
      </x:c>
      <x:c r="X37" s="38" t="str">
        <x:v>RESERVATION_FIXED; CF09_ALLOCATION_FORBIDDEN</x:v>
      </x:c>
    </x:row>
    <x:row r="38" ht="44" customHeight="1">
      <x:c r="A38" s="37" t="str">
        <x:v>37</x:v>
      </x:c>
      <x:c r="B38" s="37" t="str">
        <x:v>TXD0</x:v>
      </x:c>
      <x:c r="C38" s="37" t="str">
        <x:v>43</x:v>
      </x:c>
      <x:c r="D38" s="37" t="str">
        <x:v>YES</x:v>
      </x:c>
      <x:c r="E38" s="37" t="str">
        <x:v>RESERVED</x:v>
      </x:c>
      <x:c r="F38" s="38" t="str">
        <x:v>U0TXD — programlama/log</x:v>
      </x:c>
      <x:c r="G38" s="38" t="str">
        <x:v>SOURCE_EXPLICIT</x:v>
      </x:c>
      <x:c r="H38" s="38" t="str">
        <x:v>WROOM-1 DS v1.8 (PKG-B 07) s.12</x:v>
      </x:c>
      <x:c r="I38" s="38" t="str">
        <x:v>UART0 debug</x:v>
      </x:c>
      <x:c r="J38" s="38" t="str">
        <x:v>CLAUDE-11a-WROOM1-N8-Pin-Evidence.csv</x:v>
      </x:c>
      <x:c r="K38" s="38" t="str">
        <x:v>C11-014</x:v>
      </x:c>
      <x:c r="L38" s="38" t="str">
        <x:v>RESERVED_UART0</x:v>
      </x:c>
      <x:c r="M38" s="38" t="str">
        <x:v>UART0_TX</x:v>
      </x:c>
      <x:c r="N38" s="38" t="str">
        <x:v>REQ-003-I2</x:v>
      </x:c>
      <x:c r="O38" s="38" t="str">
        <x:v>PASS</x:v>
      </x:c>
      <x:c r="P38" s="38" t="str">
        <x:v>Programlama/log için ayrıldı</x:v>
      </x:c>
      <x:c r="Q38" s="38" t="str">
        <x:v>G1-JOB01/REP01</x:v>
      </x:c>
      <x:c r="R38" s="38" t="str">
        <x:v>PASS</x:v>
      </x:c>
      <x:c r="S38" s="38" t="str">
        <x:v>G2-H04-RECOVERY</x:v>
      </x:c>
      <x:c r="T38" s="38" t="str">
        <x:v>PASS</x:v>
      </x:c>
      <x:c r="U38" s="38" t="str">
        <x:v>WF01-G1-Karar-Paketi-v1.3; kullanıcı aracılığıyla insan onayı 2026-10-18</x:v>
      </x:c>
      <x:c r="V38" s="38" t="str">
        <x:v>WF01-CF09-Mimari-Karar-Matrisi-v1.1; C-UART-01; Kapasite Senaryolari</x:v>
      </x:c>
      <x:c r="W38" s="38" t="str">
        <x:v>V-FW-01; V-BOOT-01</x:v>
      </x:c>
      <x:c r="X38" s="38" t="str">
        <x:v>RESERVATION_FIXED; CF09_ALLOCATION_FORBIDDEN</x:v>
      </x:c>
    </x:row>
    <x:row r="39" ht="44" customHeight="1">
      <x:c r="A39" s="37" t="str">
        <x:v>38</x:v>
      </x:c>
      <x:c r="B39" s="37" t="str">
        <x:v>IO2</x:v>
      </x:c>
      <x:c r="C39" s="37" t="str">
        <x:v>2</x:v>
      </x:c>
      <x:c r="D39" s="37" t="str">
        <x:v>YES</x:v>
      </x:c>
      <x:c r="E39" s="37" t="str">
        <x:v>YES</x:v>
      </x:c>
      <x:c r="F39" s="38" t="str">
        <x:v>Açılışta ~60 µs düşük seviye glitch; ADC1_CH1</x:v>
      </x:c>
      <x:c r="G39" s="38" t="str">
        <x:v>SOURCE_EXPLICIT</x:v>
      </x:c>
      <x:c r="H39" s="38" t="str">
        <x:v>ESP32-S3 DS v2.0 s.17 T2-2</x:v>
      </x:c>
      <x:c r="I39" s="38" t="str">
        <x:v>Giriş/ADC (VIN izleme adayı)</x:v>
      </x:c>
      <x:c r="J39" s="38" t="str">
        <x:v>CLAUDE-11a-WROOM1-N8-Pin-Evidence.csv</x:v>
      </x:c>
      <x:c r="K39" s="38" t="str"/>
      <x:c r="L39" s="38" t="str">
        <x:v>UNALLOCATED_CONSTRAINED</x:v>
      </x:c>
      <x:c r="M39" s="38" t="str">
        <x:v>UNKNOWN</x:v>
      </x:c>
      <x:c r="N39" s="38" t="str">
        <x:v>CF-09</x:v>
      </x:c>
      <x:c r="O39" s="38" t="str">
        <x:v>BLOCKED</x:v>
      </x:c>
      <x:c r="P39" s="38" t="str">
        <x:v>VIN izleme yalnız aday; karar yok</x:v>
      </x:c>
      <x:c r="Q39" s="38" t="str">
        <x:v>G1-JOB01/REP01</x:v>
      </x:c>
      <x:c r="R39" s="38" t="str">
        <x:v>BLOCKED</x:v>
      </x:c>
      <x:c r="S39" s="38" t="str">
        <x:v>G2-H03-PIN-FREEZE</x:v>
      </x:c>
      <x:c r="T39" s="38" t="str">
        <x:v>BLOCKED</x:v>
      </x:c>
      <x:c r="U39" s="38" t="str">
        <x:v>WF01-G1-Karar-Paketi-v1.3; kullanıcı aracılığıyla insan onayı 2026-10-18</x:v>
      </x:c>
      <x:c r="V39" s="38" t="str">
        <x:v>WF01-CF09-Mimari-Karar-Matrisi-v1.1; MIR-EXT-1; MIR-HYB-1; MIR-GLOBAL-1; IND-EXT-1; IND-INT-1; IND-HELP-1</x:v>
      </x:c>
      <x:c r="W39" s="38" t="str">
        <x:v>V-FW-01; V-BOOT-01</x:v>
      </x:c>
      <x:c r="X39" s="38" t="str">
        <x:v>V-REQ-01; V-MAP-01; V-FW-01; Q-C12; Q-C13; Q-C14; Q-C15</x:v>
      </x:c>
    </x:row>
    <x:row r="40" ht="44" customHeight="1">
      <x:c r="A40" s="37" t="str">
        <x:v>39</x:v>
      </x:c>
      <x:c r="B40" s="37" t="str">
        <x:v>IO1</x:v>
      </x:c>
      <x:c r="C40" s="37" t="str">
        <x:v>1</x:v>
      </x:c>
      <x:c r="D40" s="37" t="str">
        <x:v>YES</x:v>
      </x:c>
      <x:c r="E40" s="37" t="str">
        <x:v>YES</x:v>
      </x:c>
      <x:c r="F40" s="38" t="str">
        <x:v>Açılışta ~60 µs düşük seviye glitch; ADC1_CH0</x:v>
      </x:c>
      <x:c r="G40" s="38" t="str">
        <x:v>SOURCE_EXPLICIT</x:v>
      </x:c>
      <x:c r="H40" s="38" t="str">
        <x:v>ESP32-S3 DS v2.0 s.17 T2-2</x:v>
      </x:c>
      <x:c r="I40" s="38" t="str">
        <x:v>Giriş/ADC</x:v>
      </x:c>
      <x:c r="J40" s="38" t="str">
        <x:v>CLAUDE-11a-WROOM1-N8-Pin-Evidence.csv</x:v>
      </x:c>
      <x:c r="K40" s="38" t="str"/>
      <x:c r="L40" s="38" t="str">
        <x:v>UNALLOCATED_CONSTRAINED</x:v>
      </x:c>
      <x:c r="M40" s="38" t="str">
        <x:v>UNKNOWN</x:v>
      </x:c>
      <x:c r="N40" s="38" t="str">
        <x:v>CF-09</x:v>
      </x:c>
      <x:c r="O40" s="38" t="str">
        <x:v>BLOCKED</x:v>
      </x:c>
      <x:c r="P40" s="38" t="str">
        <x:v>Boot glitch nedeniyle doğrudan TX kararı verilmedi</x:v>
      </x:c>
      <x:c r="Q40" s="38" t="str">
        <x:v>G1-JOB01/REP01</x:v>
      </x:c>
      <x:c r="R40" s="38" t="str">
        <x:v>BLOCKED</x:v>
      </x:c>
      <x:c r="S40" s="38" t="str">
        <x:v>G2-H03-PIN-FREEZE</x:v>
      </x:c>
      <x:c r="T40" s="38" t="str">
        <x:v>BLOCKED</x:v>
      </x:c>
      <x:c r="U40" s="38" t="str">
        <x:v>WF01-G1-Karar-Paketi-v1.3; kullanıcı aracılığıyla insan onayı 2026-10-18</x:v>
      </x:c>
      <x:c r="V40" s="38" t="str">
        <x:v>WF01-CF09-Mimari-Karar-Matrisi-v1.1; MIR-EXT-1; MIR-HYB-1; MIR-GLOBAL-1; IND-EXT-1; IND-INT-1; IND-HELP-1</x:v>
      </x:c>
      <x:c r="W40" s="38" t="str">
        <x:v>V-FW-01; V-BOOT-01</x:v>
      </x:c>
      <x:c r="X40" s="38" t="str">
        <x:v>V-REQ-01; V-MAP-01; V-FW-01; Q-C12; Q-C13; Q-C14; Q-C15</x:v>
      </x:c>
    </x:row>
    <x:row r="41" ht="44" customHeight="1">
      <x:c r="A41" s="37" t="str">
        <x:v>40</x:v>
      </x:c>
      <x:c r="B41" s="37" t="str">
        <x:v>GND</x:v>
      </x:c>
      <x:c r="C41" s="37" t="str">
        <x:v>—</x:v>
      </x:c>
      <x:c r="D41" s="37" t="str">
        <x:v>—</x:v>
      </x:c>
      <x:c r="E41" s="37" t="str">
        <x:v>—</x:v>
      </x:c>
      <x:c r="F41" s="38" t="str">
        <x:v>Toprak</x:v>
      </x:c>
      <x:c r="G41" s="38" t="str">
        <x:v>SOURCE_EXPLICIT</x:v>
      </x:c>
      <x:c r="H41" s="38" t="str">
        <x:v>WROOM-1 DS v1.8 (PKG-B 07) s.12</x:v>
      </x:c>
      <x:c r="I41" s="38" t="str">
        <x:v>—</x:v>
      </x:c>
      <x:c r="J41" s="38" t="str">
        <x:v>CLAUDE-11a-WROOM1-N8-Pin-Evidence.csv</x:v>
      </x:c>
      <x:c r="K41" s="38" t="str"/>
      <x:c r="L41" s="38" t="str">
        <x:v>NOT_APPLICABLE</x:v>
      </x:c>
      <x:c r="M41" s="38" t="str">
        <x:v>GND</x:v>
      </x:c>
      <x:c r="N41" s="38" t="str"/>
      <x:c r="O41" s="38" t="str">
        <x:v>PASS</x:v>
      </x:c>
      <x:c r="P41" s="38" t="str">
        <x:v>Kaynak satırı aynen içe alındı</x:v>
      </x:c>
      <x:c r="Q41" s="38" t="str">
        <x:v>G1-JOB01/REP01</x:v>
      </x:c>
      <x:c r="R41" s="38" t="str">
        <x:v>PASS</x:v>
      </x:c>
      <x:c r="S41" s="38" t="str">
        <x:v>NONE</x:v>
      </x:c>
      <x:c r="T41" s="38" t="str">
        <x:v>NOT_RUN</x:v>
      </x:c>
      <x:c r="U41" s="38" t="str">
        <x:v>WF01-G1-Karar-Paketi-v1.3; kullanıcı aracılığıyla insan onayı 2026-10-18</x:v>
      </x:c>
      <x:c r="V41" s="38" t="str">
        <x:v>NONE — OUTSIDE_CF09</x:v>
      </x:c>
      <x:c r="W41" s="38" t="str">
        <x:v>NONE — OUTSIDE_CF09</x:v>
      </x:c>
      <x:c r="X41" s="38" t="str">
        <x:v>NONE</x:v>
      </x:c>
    </x:row>
    <x:row r="42" ht="44" customHeight="1">
      <x:c r="A42" s="37" t="str">
        <x:v>41</x:v>
      </x:c>
      <x:c r="B42" s="37" t="str">
        <x:v>EPAD</x:v>
      </x:c>
      <x:c r="C42" s="37" t="str">
        <x:v>—</x:v>
      </x:c>
      <x:c r="D42" s="37" t="str">
        <x:v>—</x:v>
      </x:c>
      <x:c r="E42" s="37" t="str">
        <x:v>—</x:v>
      </x:c>
      <x:c r="F42" s="38" t="str">
        <x:v>Toprak; lehimlenmesi termal açıdan önerilir</x:v>
      </x:c>
      <x:c r="G42" s="38" t="str">
        <x:v>SOURCE_EXPLICIT</x:v>
      </x:c>
      <x:c r="H42" s="38" t="str">
        <x:v>WROOM-1 DS v1.8 (PKG-B 07) s.41 §9</x:v>
      </x:c>
      <x:c r="I42" s="38" t="str">
        <x:v>—</x:v>
      </x:c>
      <x:c r="J42" s="38" t="str">
        <x:v>CLAUDE-11a-WROOM1-N8-Pin-Evidence.csv</x:v>
      </x:c>
      <x:c r="K42" s="38" t="str"/>
      <x:c r="L42" s="38" t="str">
        <x:v>NOT_APPLICABLE</x:v>
      </x:c>
      <x:c r="M42" s="38" t="str">
        <x:v>EPAD_GND</x:v>
      </x:c>
      <x:c r="N42" s="38" t="str"/>
      <x:c r="O42" s="38" t="str">
        <x:v>PASS</x:v>
      </x:c>
      <x:c r="P42" s="38" t="str">
        <x:v>Kaynak satırı aynen içe alındı</x:v>
      </x:c>
      <x:c r="Q42" s="38" t="str">
        <x:v>G1-JOB01/REP01</x:v>
      </x:c>
      <x:c r="R42" s="38" t="str">
        <x:v>PASS</x:v>
      </x:c>
      <x:c r="S42" s="38" t="str">
        <x:v>NONE</x:v>
      </x:c>
      <x:c r="T42" s="38" t="str">
        <x:v>NOT_RUN</x:v>
      </x:c>
      <x:c r="U42" s="38" t="str">
        <x:v>WF01-G1-Karar-Paketi-v1.3; kullanıcı aracılığıyla insan onayı 2026-10-18</x:v>
      </x:c>
      <x:c r="V42" s="38" t="str">
        <x:v>NONE — OUTSIDE_CF09</x:v>
      </x:c>
      <x:c r="W42" s="38" t="str">
        <x:v>NONE — OUTSIDE_CF09</x:v>
      </x:c>
      <x:c r="X42" s="38" t="str">
        <x:v>NONE</x:v>
      </x:c>
    </x:row>
  </x:sheetData>
  <x:pageMargins left="0.7" right="0.7" top="0.75" bottom="0.75" header="0.3" footer="0.3"/>
  <x:tableParts count="1">
    <x:tablePart xmlns:r="http://schemas.openxmlformats.org/officeDocument/2006/relationships" r:id="Re329add51f5d4fcc"/>
  </x:tableParts>
</x:worksheet>
</file>